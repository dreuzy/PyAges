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saleray_uc_cl/Documents/070_Outils/pyage/Data_visser/"/>
    </mc:Choice>
  </mc:AlternateContent>
  <xr:revisionPtr revIDLastSave="354" documentId="8_{235EF673-C3F5-4EFB-990F-DFC23A936F5B}" xr6:coauthVersionLast="47" xr6:coauthVersionMax="47" xr10:uidLastSave="{7DCE6CAD-B698-40BD-A77F-30B41F44F813}"/>
  <bookViews>
    <workbookView xWindow="-108" yWindow="-108" windowWidth="23256" windowHeight="12456" activeTab="2" xr2:uid="{846E8601-4A09-478C-A418-FA3020623218}"/>
  </bookViews>
  <sheets>
    <sheet name="sampling_data" sheetId="1" r:id="rId1"/>
    <sheet name="RTD_qui²_pchi²" sheetId="2" r:id="rId2"/>
    <sheet name="Shape-free_mode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</calcChain>
</file>

<file path=xl/sharedStrings.xml><?xml version="1.0" encoding="utf-8"?>
<sst xmlns="http://schemas.openxmlformats.org/spreadsheetml/2006/main" count="150" uniqueCount="64">
  <si>
    <t>ID</t>
  </si>
  <si>
    <t>Date</t>
  </si>
  <si>
    <t>Top_m</t>
  </si>
  <si>
    <t>Bottom_m</t>
  </si>
  <si>
    <t>Production_m3d</t>
  </si>
  <si>
    <t>DeltaNe_pct</t>
  </si>
  <si>
    <t>Kr85_err</t>
  </si>
  <si>
    <t>3H_TU</t>
  </si>
  <si>
    <t>3H_err</t>
  </si>
  <si>
    <t>3He_trit_TU</t>
  </si>
  <si>
    <t>3He_err</t>
  </si>
  <si>
    <t>Ar39_pMC</t>
  </si>
  <si>
    <t>Ar39_err</t>
  </si>
  <si>
    <t>He4_terr</t>
  </si>
  <si>
    <t>He4</t>
  </si>
  <si>
    <t>delta2H</t>
  </si>
  <si>
    <t>delta18O</t>
  </si>
  <si>
    <t>Kr85_age</t>
  </si>
  <si>
    <t>Kr85_age_err</t>
  </si>
  <si>
    <t>H3_He_age</t>
  </si>
  <si>
    <t>H3_He_age_err</t>
  </si>
  <si>
    <t>Ar39_age</t>
  </si>
  <si>
    <t>Ar39_age_err</t>
  </si>
  <si>
    <t>59-05</t>
  </si>
  <si>
    <t>61-08</t>
  </si>
  <si>
    <t>67-19</t>
  </si>
  <si>
    <t>71-20</t>
  </si>
  <si>
    <t>72-22</t>
  </si>
  <si>
    <t>72-27</t>
  </si>
  <si>
    <t>73-29</t>
  </si>
  <si>
    <t>85-33</t>
  </si>
  <si>
    <t>85-34</t>
  </si>
  <si>
    <t>85-35</t>
  </si>
  <si>
    <t>85-36</t>
  </si>
  <si>
    <t>Kr85_dpm_ccKr</t>
  </si>
  <si>
    <t>NA</t>
  </si>
  <si>
    <t>Well</t>
  </si>
  <si>
    <t>3bin_chi2</t>
  </si>
  <si>
    <t>4bin_chi2</t>
  </si>
  <si>
    <t>5bin_chi2</t>
  </si>
  <si>
    <t>9bin_chi2</t>
  </si>
  <si>
    <t>DM_tau</t>
  </si>
  <si>
    <t>DM_PD</t>
  </si>
  <si>
    <t>DM_chi2</t>
  </si>
  <si>
    <t>DMfold_tau</t>
  </si>
  <si>
    <t>DMfold_PD</t>
  </si>
  <si>
    <t>DMfold_fold</t>
  </si>
  <si>
    <t>DMfold_chi2</t>
  </si>
  <si>
    <t>EM_tau</t>
  </si>
  <si>
    <t>EM_chi2</t>
  </si>
  <si>
    <t>EMfold_tau</t>
  </si>
  <si>
    <t>EMfold_fold</t>
  </si>
  <si>
    <t>EMfold_chi2</t>
  </si>
  <si>
    <t>DM_pchi2</t>
  </si>
  <si>
    <t>DMfold_pchi2</t>
  </si>
  <si>
    <t>EM_pchi2</t>
  </si>
  <si>
    <t>EMfold_pchi2</t>
  </si>
  <si>
    <t>3bin_pchi2</t>
  </si>
  <si>
    <t>4bin_pchi2</t>
  </si>
  <si>
    <t>Age</t>
  </si>
  <si>
    <t>3-bins</t>
  </si>
  <si>
    <t>4-bins</t>
  </si>
  <si>
    <t>5-bins</t>
  </si>
  <si>
    <t>9-bins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</si>
</sst>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3" xfId="0" applyFont="1" applyFill="1" applyBorder="1"/>
    <xf numFmtId="0" fontId="2" fillId="6" borderId="1" xfId="0" applyFont="1" applyFill="1" applyBorder="1"/>
    <xf numFmtId="0" fontId="2" fillId="6" borderId="2" xfId="0" applyFont="1" applyFill="1" applyBorder="1"/>
    <xf numFmtId="0" fontId="2" fillId="7" borderId="2" xfId="0" applyFont="1" applyFill="1" applyBorder="1"/>
    <xf numFmtId="0" fontId="2" fillId="8" borderId="2" xfId="0" applyFont="1" applyFill="1" applyBorder="1"/>
    <xf numFmtId="0" fontId="2" fillId="9" borderId="2" xfId="0" applyFont="1" applyFill="1" applyBorder="1"/>
    <xf numFmtId="0" fontId="2" fillId="9" borderId="3" xfId="0" applyFont="1" applyFill="1" applyBorder="1"/>
    <xf numFmtId="0" fontId="3" fillId="0" borderId="0" xfId="0" applyFont="1"/>
    <xf numFmtId="0" fontId="0" fillId="2" borderId="4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5" xfId="0" applyFill="1" applyBorder="1"/>
    <xf numFmtId="0" fontId="0" fillId="6" borderId="4" xfId="0" applyFill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9" borderId="5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quotePrefix="1"/>
    <xf numFmtId="0" fontId="0" fillId="0" borderId="5" xfId="0" applyBorder="1"/>
    <xf numFmtId="0" fontId="3" fillId="0" borderId="4" xfId="0" quotePrefix="1" applyFont="1" applyBorder="1"/>
    <xf numFmtId="0" fontId="3" fillId="0" borderId="0" xfId="0" quotePrefix="1" applyFont="1"/>
    <xf numFmtId="0" fontId="3" fillId="0" borderId="5" xfId="0" quotePrefix="1" applyFont="1" applyBorder="1"/>
    <xf numFmtId="0" fontId="3" fillId="0" borderId="6" xfId="0" quotePrefix="1" applyFont="1" applyBorder="1"/>
    <xf numFmtId="0" fontId="3" fillId="0" borderId="7" xfId="0" quotePrefix="1" applyFont="1" applyBorder="1"/>
    <xf numFmtId="0" fontId="3" fillId="0" borderId="7" xfId="0" applyFont="1" applyBorder="1"/>
    <xf numFmtId="0" fontId="3" fillId="0" borderId="8" xfId="0" quotePrefix="1" applyFont="1" applyBorder="1"/>
    <xf numFmtId="0" fontId="0" fillId="10" borderId="0" xfId="0" applyFill="1"/>
    <xf numFmtId="14" fontId="0" fillId="10" borderId="0" xfId="0" applyNumberFormat="1" applyFill="1"/>
    <xf numFmtId="0" fontId="3" fillId="10" borderId="0" xfId="0" applyFont="1" applyFill="1"/>
    <xf numFmtId="14" fontId="3" fillId="10" borderId="0" xfId="0" applyNumberFormat="1" applyFont="1" applyFill="1"/>
    <xf numFmtId="0" fontId="0" fillId="11" borderId="2" xfId="0" applyFill="1" applyBorder="1"/>
    <xf numFmtId="0" fontId="0" fillId="11" borderId="3" xfId="0" applyFill="1" applyBorder="1"/>
    <xf numFmtId="0" fontId="0" fillId="11" borderId="0" xfId="0" applyFill="1"/>
    <xf numFmtId="0" fontId="0" fillId="11" borderId="0" xfId="0" quotePrefix="1" applyFill="1"/>
    <xf numFmtId="0" fontId="0" fillId="11" borderId="5" xfId="0" quotePrefix="1" applyFill="1" applyBorder="1"/>
    <xf numFmtId="0" fontId="3" fillId="11" borderId="0" xfId="0" quotePrefix="1" applyFont="1" applyFill="1"/>
    <xf numFmtId="0" fontId="3" fillId="11" borderId="0" xfId="0" applyFont="1" applyFill="1"/>
    <xf numFmtId="0" fontId="3" fillId="11" borderId="5" xfId="0" quotePrefix="1" applyFont="1" applyFill="1" applyBorder="1"/>
    <xf numFmtId="0" fontId="0" fillId="11" borderId="5" xfId="0" applyFill="1" applyBorder="1"/>
    <xf numFmtId="0" fontId="3" fillId="11" borderId="5" xfId="0" applyFont="1" applyFill="1" applyBorder="1"/>
    <xf numFmtId="0" fontId="3" fillId="11" borderId="7" xfId="0" quotePrefix="1" applyFont="1" applyFill="1" applyBorder="1"/>
    <xf numFmtId="0" fontId="3" fillId="11" borderId="7" xfId="0" applyFont="1" applyFill="1" applyBorder="1"/>
    <xf numFmtId="0" fontId="3" fillId="11" borderId="8" xfId="0" applyFont="1" applyFill="1" applyBorder="1"/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3" fillId="0" borderId="11" xfId="0" applyFont="1" applyBorder="1"/>
    <xf numFmtId="0" fontId="2" fillId="11" borderId="1" xfId="0" applyFont="1" applyFill="1" applyBorder="1"/>
    <xf numFmtId="0" fontId="2" fillId="11" borderId="4" xfId="0" applyFont="1" applyFill="1" applyBorder="1"/>
    <xf numFmtId="0" fontId="4" fillId="11" borderId="4" xfId="0" quotePrefix="1" applyFont="1" applyFill="1" applyBorder="1"/>
    <xf numFmtId="0" fontId="4" fillId="11" borderId="6" xfId="0" quotePrefix="1" applyFont="1" applyFill="1" applyBorder="1"/>
    <xf numFmtId="0" fontId="2" fillId="11" borderId="2" xfId="0" applyFont="1" applyFill="1" applyBorder="1"/>
    <xf numFmtId="0" fontId="2" fillId="11" borderId="0" xfId="0" applyFont="1" applyFill="1"/>
    <xf numFmtId="0" fontId="4" fillId="11" borderId="0" xfId="0" applyFont="1" applyFill="1"/>
    <xf numFmtId="0" fontId="4" fillId="11" borderId="7" xfId="0" applyFont="1" applyFill="1" applyBorder="1"/>
    <xf numFmtId="0" fontId="4" fillId="11" borderId="0" xfId="0" quotePrefix="1" applyFont="1" applyFill="1"/>
    <xf numFmtId="0" fontId="4" fillId="11" borderId="7" xfId="0" quotePrefix="1" applyFont="1" applyFill="1" applyBorder="1"/>
    <xf numFmtId="11" fontId="0" fillId="0" borderId="0" xfId="0" applyNumberFormat="1"/>
    <xf numFmtId="0" fontId="0" fillId="10" borderId="0" xfId="0" applyFill="1" applyAlignment="1">
      <alignment horizontal="center" vertical="center"/>
    </xf>
    <xf numFmtId="2" fontId="0" fillId="10" borderId="0" xfId="0" applyNumberFormat="1" applyFill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12</xdr:row>
      <xdr:rowOff>45720</xdr:rowOff>
    </xdr:from>
    <xdr:to>
      <xdr:col>23</xdr:col>
      <xdr:colOff>316496</xdr:colOff>
      <xdr:row>31</xdr:row>
      <xdr:rowOff>38637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2089A9A-6913-BDD3-91CC-12C69B9EC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2247900"/>
          <a:ext cx="14002016" cy="34676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350520</xdr:colOff>
      <xdr:row>9</xdr:row>
      <xdr:rowOff>23309</xdr:rowOff>
    </xdr:from>
    <xdr:to>
      <xdr:col>19</xdr:col>
      <xdr:colOff>196206</xdr:colOff>
      <xdr:row>24</xdr:row>
      <xdr:rowOff>48121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164D2C8-7BEA-B427-27D7-2D112F4B8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6460" y="1669229"/>
          <a:ext cx="10582266" cy="27680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388682</xdr:colOff>
      <xdr:row>0</xdr:row>
      <xdr:rowOff>26895</xdr:rowOff>
    </xdr:from>
    <xdr:to>
      <xdr:col>18</xdr:col>
      <xdr:colOff>226904</xdr:colOff>
      <xdr:row>27</xdr:row>
      <xdr:rowOff>54132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6C3750D-CF57-FAAB-63B0-5BFE1C6A35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37"/>
        <a:stretch>
          <a:fillRect/>
        </a:stretch>
      </xdr:blipFill>
      <xdr:spPr>
        <a:xfrm>
          <a:off x="5444776" y="26895"/>
          <a:ext cx="6938269" cy="4868178"/>
        </a:xfrm>
        <a:prstGeom prst="rect">
          <a:avLst/>
        </a:prstGeom>
      </xdr:spPr>
    </xdr:pic>
    <xdr:clientData/>
  </xdr:twoCellAnchor>
  <xdr:twoCellAnchor editAs="oneCell">
    <xdr:from>
      <xdr:col>18</xdr:col>
      <xdr:colOff>506281</xdr:colOff>
      <xdr:row>8</xdr:row>
      <xdr:rowOff>159794</xdr:rowOff>
    </xdr:from>
    <xdr:to>
      <xdr:col>20</xdr:col>
      <xdr:colOff>95923</xdr:colOff>
      <xdr:row>17</xdr:row>
      <xdr:rowOff>68355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DB1925A-CA59-6524-1721-295B3C1FC5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6729" t="72485" r="5147" b="12702"/>
        <a:stretch>
          <a:fillRect/>
        </a:stretch>
      </xdr:blipFill>
      <xdr:spPr>
        <a:xfrm>
          <a:off x="12662422" y="1594147"/>
          <a:ext cx="1167430" cy="15222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AB67-A7D8-4772-961A-6241F572B0C9}">
  <dimension ref="A1:X12"/>
  <sheetViews>
    <sheetView workbookViewId="0">
      <selection activeCell="H12" sqref="H12"/>
    </sheetView>
  </sheetViews>
  <sheetFormatPr baseColWidth="10" defaultRowHeight="14.4" x14ac:dyDescent="0.3"/>
  <cols>
    <col min="1" max="1" width="5.6640625" bestFit="1" customWidth="1"/>
    <col min="2" max="2" width="6.21875" bestFit="1" customWidth="1"/>
    <col min="3" max="3" width="9.109375" bestFit="1" customWidth="1"/>
    <col min="4" max="4" width="9.6640625" customWidth="1"/>
    <col min="5" max="5" width="8.33203125" bestFit="1" customWidth="1"/>
    <col min="6" max="6" width="10.88671875" bestFit="1" customWidth="1"/>
    <col min="7" max="7" width="14" bestFit="1" customWidth="1"/>
    <col min="8" max="8" width="7.77734375" bestFit="1" customWidth="1"/>
    <col min="9" max="9" width="6.21875" bestFit="1" customWidth="1"/>
    <col min="10" max="10" width="6.44140625" bestFit="1" customWidth="1"/>
    <col min="11" max="11" width="10.5546875" bestFit="1" customWidth="1"/>
    <col min="12" max="12" width="7.44140625" bestFit="1" customWidth="1"/>
    <col min="13" max="13" width="9.33203125" bestFit="1" customWidth="1"/>
    <col min="14" max="14" width="7.88671875" bestFit="1" customWidth="1"/>
    <col min="15" max="15" width="8.109375" bestFit="1" customWidth="1"/>
    <col min="16" max="16" width="5" bestFit="1" customWidth="1"/>
    <col min="17" max="17" width="7.33203125" bestFit="1" customWidth="1"/>
    <col min="18" max="19" width="8.33203125" bestFit="1" customWidth="1"/>
    <col min="20" max="20" width="11.44140625" bestFit="1" customWidth="1"/>
    <col min="21" max="21" width="10.109375" bestFit="1" customWidth="1"/>
    <col min="22" max="22" width="13.21875" bestFit="1" customWidth="1"/>
    <col min="23" max="23" width="8.44140625" bestFit="1" customWidth="1"/>
  </cols>
  <sheetData>
    <row r="1" spans="1:24" x14ac:dyDescent="0.3">
      <c r="A1" s="38" t="s">
        <v>0</v>
      </c>
      <c r="B1" s="38" t="s">
        <v>2</v>
      </c>
      <c r="C1" s="38" t="s">
        <v>3</v>
      </c>
      <c r="D1" s="38" t="s">
        <v>4</v>
      </c>
      <c r="E1" s="38" t="s">
        <v>1</v>
      </c>
      <c r="F1" s="55" t="s">
        <v>5</v>
      </c>
      <c r="G1" s="59" t="s">
        <v>34</v>
      </c>
      <c r="H1" s="42" t="s">
        <v>6</v>
      </c>
      <c r="I1" s="63" t="s">
        <v>7</v>
      </c>
      <c r="J1" s="42" t="s">
        <v>8</v>
      </c>
      <c r="K1" s="63" t="s">
        <v>9</v>
      </c>
      <c r="L1" s="42" t="s">
        <v>10</v>
      </c>
      <c r="M1" s="63" t="s">
        <v>11</v>
      </c>
      <c r="N1" s="42" t="s">
        <v>12</v>
      </c>
      <c r="O1" s="63" t="s">
        <v>13</v>
      </c>
      <c r="P1" s="43" t="s">
        <v>14</v>
      </c>
      <c r="Q1" s="25" t="s">
        <v>15</v>
      </c>
      <c r="R1" s="27" t="s">
        <v>16</v>
      </c>
      <c r="S1" s="25" t="s">
        <v>17</v>
      </c>
      <c r="T1" s="26" t="s">
        <v>18</v>
      </c>
      <c r="U1" s="26" t="s">
        <v>19</v>
      </c>
      <c r="V1" s="26" t="s">
        <v>20</v>
      </c>
      <c r="W1" s="26" t="s">
        <v>21</v>
      </c>
      <c r="X1" s="27" t="s">
        <v>22</v>
      </c>
    </row>
    <row r="2" spans="1:24" x14ac:dyDescent="0.3">
      <c r="A2" s="38" t="s">
        <v>23</v>
      </c>
      <c r="B2" s="38">
        <v>19</v>
      </c>
      <c r="C2" s="38">
        <v>30</v>
      </c>
      <c r="D2" s="38">
        <v>800</v>
      </c>
      <c r="E2" s="39">
        <v>40288</v>
      </c>
      <c r="F2" s="56">
        <v>-7</v>
      </c>
      <c r="G2" s="60">
        <v>38</v>
      </c>
      <c r="H2" s="44">
        <v>1.2</v>
      </c>
      <c r="I2" s="64">
        <v>6.48</v>
      </c>
      <c r="J2" s="44">
        <v>0.14000000000000001</v>
      </c>
      <c r="K2" s="64">
        <v>21.1</v>
      </c>
      <c r="L2" s="45" t="s">
        <v>35</v>
      </c>
      <c r="M2" s="64">
        <v>100</v>
      </c>
      <c r="N2" s="44">
        <v>10</v>
      </c>
      <c r="O2" s="64">
        <v>0</v>
      </c>
      <c r="P2" s="46" t="s">
        <v>35</v>
      </c>
      <c r="Q2" s="28">
        <v>-48.54</v>
      </c>
      <c r="R2" s="30">
        <v>-7.35</v>
      </c>
      <c r="S2" s="28">
        <v>12</v>
      </c>
      <c r="T2">
        <v>0.3</v>
      </c>
      <c r="U2">
        <v>25.7</v>
      </c>
      <c r="V2" s="29" t="s">
        <v>35</v>
      </c>
      <c r="W2">
        <v>0</v>
      </c>
      <c r="X2" s="30">
        <v>39</v>
      </c>
    </row>
    <row r="3" spans="1:24" s="13" customFormat="1" x14ac:dyDescent="0.3">
      <c r="A3" s="40" t="s">
        <v>24</v>
      </c>
      <c r="B3" s="40">
        <v>13</v>
      </c>
      <c r="C3" s="40">
        <v>32</v>
      </c>
      <c r="D3" s="40">
        <v>67</v>
      </c>
      <c r="E3" s="41">
        <v>40288</v>
      </c>
      <c r="F3" s="57">
        <v>-23</v>
      </c>
      <c r="G3" s="61" t="s">
        <v>35</v>
      </c>
      <c r="H3" s="47" t="s">
        <v>35</v>
      </c>
      <c r="I3" s="65">
        <v>7.4</v>
      </c>
      <c r="J3" s="48">
        <v>0.15</v>
      </c>
      <c r="K3" s="65">
        <v>27.4</v>
      </c>
      <c r="L3" s="47" t="s">
        <v>35</v>
      </c>
      <c r="M3" s="67" t="s">
        <v>35</v>
      </c>
      <c r="N3" s="47" t="s">
        <v>35</v>
      </c>
      <c r="O3" s="65">
        <v>0</v>
      </c>
      <c r="P3" s="49" t="s">
        <v>35</v>
      </c>
      <c r="Q3" s="31" t="s">
        <v>35</v>
      </c>
      <c r="R3" s="33" t="s">
        <v>35</v>
      </c>
      <c r="S3" s="31" t="s">
        <v>35</v>
      </c>
      <c r="T3" s="32" t="s">
        <v>35</v>
      </c>
      <c r="U3" s="13">
        <v>27.5</v>
      </c>
      <c r="V3" s="32" t="s">
        <v>35</v>
      </c>
      <c r="W3" s="32" t="s">
        <v>35</v>
      </c>
      <c r="X3" s="33" t="s">
        <v>35</v>
      </c>
    </row>
    <row r="4" spans="1:24" x14ac:dyDescent="0.3">
      <c r="A4" s="38" t="s">
        <v>25</v>
      </c>
      <c r="B4" s="38">
        <v>14</v>
      </c>
      <c r="C4" s="38">
        <v>23</v>
      </c>
      <c r="D4" s="38">
        <v>530</v>
      </c>
      <c r="E4" s="39">
        <v>40289</v>
      </c>
      <c r="F4" s="56">
        <v>26</v>
      </c>
      <c r="G4" s="60">
        <v>39.700000000000003</v>
      </c>
      <c r="H4" s="44">
        <v>1.5</v>
      </c>
      <c r="I4" s="64">
        <v>6.09</v>
      </c>
      <c r="J4" s="44">
        <v>0.15</v>
      </c>
      <c r="K4" s="64">
        <v>6.4</v>
      </c>
      <c r="L4" s="44">
        <v>0.5</v>
      </c>
      <c r="M4" s="64">
        <v>104</v>
      </c>
      <c r="N4" s="44">
        <v>8</v>
      </c>
      <c r="O4" s="64">
        <v>0.1</v>
      </c>
      <c r="P4" s="50">
        <v>0.33</v>
      </c>
      <c r="Q4" s="28">
        <v>-48.98</v>
      </c>
      <c r="R4" s="30">
        <v>-7.41</v>
      </c>
      <c r="S4" s="28">
        <v>12</v>
      </c>
      <c r="T4">
        <v>0.3</v>
      </c>
      <c r="U4">
        <v>12.7</v>
      </c>
      <c r="V4">
        <v>0.8</v>
      </c>
      <c r="W4">
        <v>0</v>
      </c>
      <c r="X4" s="30">
        <v>30</v>
      </c>
    </row>
    <row r="5" spans="1:24" s="13" customFormat="1" x14ac:dyDescent="0.3">
      <c r="A5" s="40" t="s">
        <v>26</v>
      </c>
      <c r="B5" s="40">
        <v>21</v>
      </c>
      <c r="C5" s="40">
        <v>30</v>
      </c>
      <c r="D5" s="40">
        <v>530</v>
      </c>
      <c r="E5" s="41">
        <v>40288</v>
      </c>
      <c r="F5" s="57">
        <v>19</v>
      </c>
      <c r="G5" s="61" t="s">
        <v>35</v>
      </c>
      <c r="H5" s="47" t="s">
        <v>35</v>
      </c>
      <c r="I5" s="65">
        <v>6.16</v>
      </c>
      <c r="J5" s="48">
        <v>0.15</v>
      </c>
      <c r="K5" s="65">
        <v>19.5</v>
      </c>
      <c r="L5" s="48">
        <v>0.5</v>
      </c>
      <c r="M5" s="67" t="s">
        <v>35</v>
      </c>
      <c r="N5" s="47" t="s">
        <v>35</v>
      </c>
      <c r="O5" s="65">
        <v>0</v>
      </c>
      <c r="P5" s="51">
        <v>0.35</v>
      </c>
      <c r="Q5" s="31" t="s">
        <v>35</v>
      </c>
      <c r="R5" s="33" t="s">
        <v>35</v>
      </c>
      <c r="S5" s="31" t="s">
        <v>35</v>
      </c>
      <c r="T5" s="32" t="s">
        <v>35</v>
      </c>
      <c r="U5" s="13">
        <v>25.4</v>
      </c>
      <c r="V5" s="13">
        <v>0.5</v>
      </c>
      <c r="W5" s="32" t="s">
        <v>35</v>
      </c>
      <c r="X5" s="33" t="s">
        <v>35</v>
      </c>
    </row>
    <row r="6" spans="1:24" x14ac:dyDescent="0.3">
      <c r="A6" s="38" t="s">
        <v>27</v>
      </c>
      <c r="B6" s="38">
        <v>15</v>
      </c>
      <c r="C6" s="38">
        <v>34</v>
      </c>
      <c r="D6" s="38">
        <v>530</v>
      </c>
      <c r="E6" s="39">
        <v>40288</v>
      </c>
      <c r="F6" s="56">
        <v>20</v>
      </c>
      <c r="G6" s="60">
        <v>35.9</v>
      </c>
      <c r="H6" s="44">
        <v>1.3</v>
      </c>
      <c r="I6" s="64">
        <v>6.75</v>
      </c>
      <c r="J6" s="44">
        <v>0.16</v>
      </c>
      <c r="K6" s="64">
        <v>14</v>
      </c>
      <c r="L6" s="44">
        <v>0.5</v>
      </c>
      <c r="M6" s="64">
        <v>93</v>
      </c>
      <c r="N6" s="44">
        <v>6</v>
      </c>
      <c r="O6" s="64">
        <v>0</v>
      </c>
      <c r="P6" s="50">
        <v>0.34</v>
      </c>
      <c r="Q6" s="28">
        <v>-47.71</v>
      </c>
      <c r="R6" s="30">
        <v>-7.24</v>
      </c>
      <c r="S6" s="28">
        <v>13</v>
      </c>
      <c r="T6">
        <v>0.4</v>
      </c>
      <c r="U6">
        <v>20</v>
      </c>
      <c r="V6">
        <v>0.5</v>
      </c>
      <c r="W6">
        <v>28</v>
      </c>
      <c r="X6" s="30">
        <v>25</v>
      </c>
    </row>
    <row r="7" spans="1:24" s="13" customFormat="1" x14ac:dyDescent="0.3">
      <c r="A7" s="40" t="s">
        <v>28</v>
      </c>
      <c r="B7" s="40">
        <v>13</v>
      </c>
      <c r="C7" s="40">
        <v>28</v>
      </c>
      <c r="D7" s="40">
        <v>530</v>
      </c>
      <c r="E7" s="41">
        <v>40288</v>
      </c>
      <c r="F7" s="57">
        <v>-22</v>
      </c>
      <c r="G7" s="61" t="s">
        <v>35</v>
      </c>
      <c r="H7" s="47" t="s">
        <v>35</v>
      </c>
      <c r="I7" s="65">
        <v>6.44</v>
      </c>
      <c r="J7" s="48">
        <v>0.23</v>
      </c>
      <c r="K7" s="65">
        <v>25.3</v>
      </c>
      <c r="L7" s="47" t="s">
        <v>35</v>
      </c>
      <c r="M7" s="67" t="s">
        <v>35</v>
      </c>
      <c r="N7" s="47" t="s">
        <v>35</v>
      </c>
      <c r="O7" s="65">
        <v>0</v>
      </c>
      <c r="P7" s="49" t="s">
        <v>35</v>
      </c>
      <c r="Q7" s="31" t="s">
        <v>35</v>
      </c>
      <c r="R7" s="33" t="s">
        <v>35</v>
      </c>
      <c r="S7" s="31" t="s">
        <v>35</v>
      </c>
      <c r="T7" s="32" t="s">
        <v>35</v>
      </c>
      <c r="U7" s="13">
        <v>28.3</v>
      </c>
      <c r="V7" s="32" t="s">
        <v>35</v>
      </c>
      <c r="W7" s="32" t="s">
        <v>35</v>
      </c>
      <c r="X7" s="33" t="s">
        <v>35</v>
      </c>
    </row>
    <row r="8" spans="1:24" x14ac:dyDescent="0.3">
      <c r="A8" s="38" t="s">
        <v>29</v>
      </c>
      <c r="B8" s="38">
        <v>16</v>
      </c>
      <c r="C8" s="38">
        <v>31</v>
      </c>
      <c r="D8" s="38">
        <v>800</v>
      </c>
      <c r="E8" s="39">
        <v>40288</v>
      </c>
      <c r="F8" s="56">
        <v>13</v>
      </c>
      <c r="G8" s="60">
        <v>39.4</v>
      </c>
      <c r="H8" s="44">
        <v>1.6</v>
      </c>
      <c r="I8" s="64">
        <v>6.38</v>
      </c>
      <c r="J8" s="44">
        <v>0.16</v>
      </c>
      <c r="K8" s="64">
        <v>8.6999999999999993</v>
      </c>
      <c r="L8" s="44">
        <v>0.5</v>
      </c>
      <c r="M8" s="64">
        <v>100</v>
      </c>
      <c r="N8" s="44">
        <v>10</v>
      </c>
      <c r="O8" s="64">
        <v>0</v>
      </c>
      <c r="P8" s="50">
        <v>0.34</v>
      </c>
      <c r="Q8" s="28">
        <v>-48.25</v>
      </c>
      <c r="R8" s="30">
        <v>-7.26</v>
      </c>
      <c r="S8" s="28">
        <v>12</v>
      </c>
      <c r="T8">
        <v>0.4</v>
      </c>
      <c r="U8">
        <v>15.3</v>
      </c>
      <c r="V8">
        <v>0.7</v>
      </c>
      <c r="W8">
        <v>0</v>
      </c>
      <c r="X8" s="30">
        <v>39</v>
      </c>
    </row>
    <row r="9" spans="1:24" x14ac:dyDescent="0.3">
      <c r="A9" s="38" t="s">
        <v>30</v>
      </c>
      <c r="B9" s="38">
        <v>46</v>
      </c>
      <c r="C9" s="38">
        <v>68</v>
      </c>
      <c r="D9" s="38">
        <v>800</v>
      </c>
      <c r="E9" s="39">
        <v>40288</v>
      </c>
      <c r="F9" s="56">
        <v>17</v>
      </c>
      <c r="G9" s="60">
        <v>2.7</v>
      </c>
      <c r="H9" s="44">
        <v>0.2</v>
      </c>
      <c r="I9" s="64">
        <v>1.23</v>
      </c>
      <c r="J9" s="44">
        <v>0.05</v>
      </c>
      <c r="K9" s="64">
        <v>9.1999999999999993</v>
      </c>
      <c r="L9" s="44">
        <v>0.5</v>
      </c>
      <c r="M9" s="64">
        <v>51</v>
      </c>
      <c r="N9" s="44">
        <v>8</v>
      </c>
      <c r="O9" s="64">
        <v>11</v>
      </c>
      <c r="P9" s="50">
        <v>0.35</v>
      </c>
      <c r="Q9" s="28">
        <v>-48.62</v>
      </c>
      <c r="R9" s="30">
        <v>-7.18</v>
      </c>
      <c r="S9" s="28">
        <v>39</v>
      </c>
      <c r="T9">
        <v>0.8</v>
      </c>
      <c r="U9">
        <v>38</v>
      </c>
      <c r="V9">
        <v>1.1000000000000001</v>
      </c>
      <c r="W9">
        <v>261</v>
      </c>
      <c r="X9" s="30">
        <v>61</v>
      </c>
    </row>
    <row r="10" spans="1:24" x14ac:dyDescent="0.3">
      <c r="A10" s="38" t="s">
        <v>31</v>
      </c>
      <c r="B10" s="38">
        <v>48</v>
      </c>
      <c r="C10" s="38">
        <v>74</v>
      </c>
      <c r="D10" s="38">
        <v>800</v>
      </c>
      <c r="E10" s="39">
        <v>40289</v>
      </c>
      <c r="F10" s="56">
        <v>6</v>
      </c>
      <c r="G10" s="60">
        <v>8.4</v>
      </c>
      <c r="H10" s="44">
        <v>0.5</v>
      </c>
      <c r="I10" s="64">
        <v>3.98</v>
      </c>
      <c r="J10" s="44">
        <v>0.11</v>
      </c>
      <c r="K10" s="64">
        <v>21.1</v>
      </c>
      <c r="L10" s="44">
        <v>0.5</v>
      </c>
      <c r="M10" s="64">
        <v>77</v>
      </c>
      <c r="N10" s="44">
        <v>7</v>
      </c>
      <c r="O10" s="64">
        <v>6.6</v>
      </c>
      <c r="P10" s="50">
        <v>0.36</v>
      </c>
      <c r="Q10" s="28">
        <v>-49.2</v>
      </c>
      <c r="R10" s="30">
        <v>-7.35</v>
      </c>
      <c r="S10" s="28">
        <v>27</v>
      </c>
      <c r="T10">
        <v>0.4</v>
      </c>
      <c r="U10">
        <v>32.700000000000003</v>
      </c>
      <c r="V10">
        <v>0.6</v>
      </c>
      <c r="W10">
        <v>101</v>
      </c>
      <c r="X10" s="30">
        <v>35</v>
      </c>
    </row>
    <row r="11" spans="1:24" x14ac:dyDescent="0.3">
      <c r="A11" s="38" t="s">
        <v>32</v>
      </c>
      <c r="B11" s="38">
        <v>45</v>
      </c>
      <c r="C11" s="38">
        <v>75</v>
      </c>
      <c r="D11" s="38">
        <v>800</v>
      </c>
      <c r="E11" s="39">
        <v>40289</v>
      </c>
      <c r="F11" s="56">
        <v>16</v>
      </c>
      <c r="G11" s="60">
        <v>8.6999999999999993</v>
      </c>
      <c r="H11" s="44">
        <v>0.3</v>
      </c>
      <c r="I11" s="64">
        <v>3.82</v>
      </c>
      <c r="J11" s="44">
        <v>0.11</v>
      </c>
      <c r="K11" s="64">
        <v>20.399999999999999</v>
      </c>
      <c r="L11" s="44">
        <v>0.5</v>
      </c>
      <c r="M11" s="64">
        <v>74</v>
      </c>
      <c r="N11" s="44">
        <v>6</v>
      </c>
      <c r="O11" s="64">
        <v>4.5</v>
      </c>
      <c r="P11" s="50">
        <v>0.36</v>
      </c>
      <c r="Q11" s="28">
        <v>-49.11</v>
      </c>
      <c r="R11" s="30">
        <v>-7.34</v>
      </c>
      <c r="S11" s="28">
        <v>27</v>
      </c>
      <c r="T11">
        <v>0.3</v>
      </c>
      <c r="U11">
        <v>32.799999999999997</v>
      </c>
      <c r="V11">
        <v>0.6</v>
      </c>
      <c r="W11">
        <v>117</v>
      </c>
      <c r="X11" s="30">
        <v>31</v>
      </c>
    </row>
    <row r="12" spans="1:24" s="13" customFormat="1" ht="15" thickBot="1" x14ac:dyDescent="0.35">
      <c r="A12" s="40" t="s">
        <v>33</v>
      </c>
      <c r="B12" s="40">
        <v>37</v>
      </c>
      <c r="C12" s="40">
        <v>46</v>
      </c>
      <c r="D12" s="40">
        <v>800</v>
      </c>
      <c r="E12" s="41">
        <v>40288</v>
      </c>
      <c r="F12" s="58">
        <v>5</v>
      </c>
      <c r="G12" s="62" t="s">
        <v>35</v>
      </c>
      <c r="H12" s="52" t="s">
        <v>35</v>
      </c>
      <c r="I12" s="66">
        <v>5.98</v>
      </c>
      <c r="J12" s="53">
        <v>0.15</v>
      </c>
      <c r="K12" s="66">
        <v>23.6</v>
      </c>
      <c r="L12" s="53">
        <v>0.5</v>
      </c>
      <c r="M12" s="68" t="s">
        <v>35</v>
      </c>
      <c r="N12" s="52" t="s">
        <v>35</v>
      </c>
      <c r="O12" s="66">
        <v>0</v>
      </c>
      <c r="P12" s="54">
        <v>0.35</v>
      </c>
      <c r="Q12" s="34" t="s">
        <v>35</v>
      </c>
      <c r="R12" s="37" t="s">
        <v>35</v>
      </c>
      <c r="S12" s="34" t="s">
        <v>35</v>
      </c>
      <c r="T12" s="35" t="s">
        <v>35</v>
      </c>
      <c r="U12" s="36">
        <v>28.4</v>
      </c>
      <c r="V12" s="36">
        <v>0.5</v>
      </c>
      <c r="W12" s="35" t="s">
        <v>35</v>
      </c>
      <c r="X12" s="37" t="s">
        <v>35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997DF-5D0C-47D8-A276-321450936647}">
  <dimension ref="A1:W8"/>
  <sheetViews>
    <sheetView workbookViewId="0">
      <selection activeCell="B23" sqref="B23"/>
    </sheetView>
  </sheetViews>
  <sheetFormatPr baseColWidth="10" defaultColWidth="11.44140625" defaultRowHeight="14.4" x14ac:dyDescent="0.3"/>
  <cols>
    <col min="1" max="1" width="5.6640625" bestFit="1" customWidth="1"/>
    <col min="2" max="2" width="9" bestFit="1" customWidth="1"/>
    <col min="3" max="3" width="10.109375" bestFit="1" customWidth="1"/>
    <col min="4" max="4" width="9" bestFit="1" customWidth="1"/>
    <col min="5" max="5" width="10.109375" bestFit="1" customWidth="1"/>
    <col min="6" max="7" width="9" bestFit="1" customWidth="1"/>
    <col min="8" max="8" width="7.109375" bestFit="1" customWidth="1"/>
    <col min="9" max="9" width="6.77734375" bestFit="1" customWidth="1"/>
    <col min="10" max="10" width="8" bestFit="1" customWidth="1"/>
    <col min="11" max="11" width="9.109375" bestFit="1" customWidth="1"/>
    <col min="12" max="12" width="10.33203125" bestFit="1" customWidth="1"/>
    <col min="13" max="13" width="10" bestFit="1" customWidth="1"/>
    <col min="14" max="14" width="10.88671875" bestFit="1" customWidth="1"/>
    <col min="15" max="15" width="11.21875" bestFit="1" customWidth="1"/>
    <col min="16" max="16" width="12.33203125" bestFit="1" customWidth="1"/>
    <col min="17" max="17" width="6.88671875" bestFit="1" customWidth="1"/>
    <col min="18" max="18" width="7.77734375" bestFit="1" customWidth="1"/>
    <col min="19" max="19" width="8.88671875" bestFit="1" customWidth="1"/>
    <col min="20" max="20" width="10.109375" bestFit="1" customWidth="1"/>
    <col min="21" max="21" width="10.6640625" bestFit="1" customWidth="1"/>
    <col min="22" max="22" width="11" bestFit="1" customWidth="1"/>
    <col min="23" max="23" width="12.109375" bestFit="1" customWidth="1"/>
  </cols>
  <sheetData>
    <row r="1" spans="1:23" s="1" customFormat="1" x14ac:dyDescent="0.3">
      <c r="A1" s="1" t="s">
        <v>36</v>
      </c>
      <c r="B1" s="2" t="s">
        <v>37</v>
      </c>
      <c r="C1" s="3" t="s">
        <v>57</v>
      </c>
      <c r="D1" s="4" t="s">
        <v>38</v>
      </c>
      <c r="E1" s="4" t="s">
        <v>58</v>
      </c>
      <c r="F1" s="5" t="s">
        <v>39</v>
      </c>
      <c r="G1" s="6" t="s">
        <v>40</v>
      </c>
      <c r="H1" s="7" t="s">
        <v>41</v>
      </c>
      <c r="I1" s="8" t="s">
        <v>42</v>
      </c>
      <c r="J1" s="8" t="s">
        <v>43</v>
      </c>
      <c r="K1" s="8" t="s">
        <v>53</v>
      </c>
      <c r="L1" s="9" t="s">
        <v>44</v>
      </c>
      <c r="M1" s="9" t="s">
        <v>45</v>
      </c>
      <c r="N1" s="9" t="s">
        <v>46</v>
      </c>
      <c r="O1" s="9" t="s">
        <v>47</v>
      </c>
      <c r="P1" s="9" t="s">
        <v>54</v>
      </c>
      <c r="Q1" s="10" t="s">
        <v>48</v>
      </c>
      <c r="R1" s="10" t="s">
        <v>49</v>
      </c>
      <c r="S1" s="10" t="s">
        <v>55</v>
      </c>
      <c r="T1" s="11" t="s">
        <v>50</v>
      </c>
      <c r="U1" s="11" t="s">
        <v>51</v>
      </c>
      <c r="V1" s="11" t="s">
        <v>52</v>
      </c>
      <c r="W1" s="12" t="s">
        <v>56</v>
      </c>
    </row>
    <row r="2" spans="1:23" x14ac:dyDescent="0.3">
      <c r="A2" s="1" t="s">
        <v>23</v>
      </c>
      <c r="B2" s="14">
        <v>32.700000000000003</v>
      </c>
      <c r="C2" s="15">
        <v>0</v>
      </c>
      <c r="D2" s="16">
        <v>1.7</v>
      </c>
      <c r="E2" s="16">
        <v>19</v>
      </c>
      <c r="F2" s="17">
        <v>1</v>
      </c>
      <c r="G2" s="18">
        <v>213.2</v>
      </c>
      <c r="H2" s="19">
        <v>14.2</v>
      </c>
      <c r="I2" s="20">
        <v>0.18</v>
      </c>
      <c r="J2" s="20">
        <v>30.3</v>
      </c>
      <c r="K2" s="20">
        <v>0</v>
      </c>
      <c r="L2" s="21">
        <v>13.4</v>
      </c>
      <c r="M2" s="21">
        <v>0.88</v>
      </c>
      <c r="N2" s="21">
        <v>0.2</v>
      </c>
      <c r="O2" s="21">
        <v>1.9</v>
      </c>
      <c r="P2" s="21">
        <v>16</v>
      </c>
      <c r="Q2" s="22">
        <v>11.1</v>
      </c>
      <c r="R2" s="22">
        <v>195.4</v>
      </c>
      <c r="S2" s="22">
        <v>0</v>
      </c>
      <c r="T2" s="23">
        <v>12.2</v>
      </c>
      <c r="U2" s="23">
        <v>0.2</v>
      </c>
      <c r="V2" s="23">
        <v>2.9</v>
      </c>
      <c r="W2" s="24">
        <v>23</v>
      </c>
    </row>
    <row r="3" spans="1:23" x14ac:dyDescent="0.3">
      <c r="A3" s="1" t="s">
        <v>25</v>
      </c>
      <c r="B3" s="14">
        <v>76.8</v>
      </c>
      <c r="C3" s="15">
        <v>0</v>
      </c>
      <c r="D3" s="16">
        <v>3.9</v>
      </c>
      <c r="E3" s="16">
        <v>5</v>
      </c>
      <c r="F3" s="17">
        <v>3.8</v>
      </c>
      <c r="G3" s="18">
        <v>1.1000000000000001</v>
      </c>
      <c r="H3" s="19">
        <v>12</v>
      </c>
      <c r="I3" s="20">
        <v>0.06</v>
      </c>
      <c r="J3" s="20">
        <v>0.9</v>
      </c>
      <c r="K3" s="20">
        <v>63</v>
      </c>
      <c r="L3" s="21">
        <v>12</v>
      </c>
      <c r="M3" s="21">
        <v>7.0000000000000007E-2</v>
      </c>
      <c r="N3" s="21">
        <v>0.01</v>
      </c>
      <c r="O3" s="21">
        <v>0.9</v>
      </c>
      <c r="P3" s="21">
        <v>35</v>
      </c>
      <c r="Q3" s="22">
        <v>7.7</v>
      </c>
      <c r="R3" s="22">
        <v>204.5</v>
      </c>
      <c r="S3" s="22">
        <v>0</v>
      </c>
      <c r="T3" s="23">
        <v>7.8</v>
      </c>
      <c r="U3" s="23">
        <v>0.21</v>
      </c>
      <c r="V3" s="23">
        <v>24.4</v>
      </c>
      <c r="W3" s="24">
        <v>0</v>
      </c>
    </row>
    <row r="4" spans="1:23" x14ac:dyDescent="0.3">
      <c r="A4" s="1" t="s">
        <v>27</v>
      </c>
      <c r="B4" s="14">
        <v>1.3</v>
      </c>
      <c r="C4" s="15">
        <v>51</v>
      </c>
      <c r="D4" s="16">
        <v>0.6</v>
      </c>
      <c r="E4" s="16">
        <v>45</v>
      </c>
      <c r="F4" s="17">
        <v>0.1</v>
      </c>
      <c r="G4" s="18">
        <v>0</v>
      </c>
      <c r="H4" s="19">
        <v>14</v>
      </c>
      <c r="I4" s="20">
        <v>0.13</v>
      </c>
      <c r="J4" s="20">
        <v>0.4</v>
      </c>
      <c r="K4" s="20">
        <v>83</v>
      </c>
      <c r="L4" s="21">
        <v>14</v>
      </c>
      <c r="M4" s="21">
        <v>0.13</v>
      </c>
      <c r="N4" s="21">
        <v>0</v>
      </c>
      <c r="O4" s="21">
        <v>0.4</v>
      </c>
      <c r="P4" s="21">
        <v>54</v>
      </c>
      <c r="Q4" s="22">
        <v>9.8000000000000007</v>
      </c>
      <c r="R4" s="22">
        <v>186.3</v>
      </c>
      <c r="S4" s="22">
        <v>0</v>
      </c>
      <c r="T4" s="23">
        <v>10.5</v>
      </c>
      <c r="U4" s="23">
        <v>0.2</v>
      </c>
      <c r="V4" s="23">
        <v>25.3</v>
      </c>
      <c r="W4" s="24">
        <v>0</v>
      </c>
    </row>
    <row r="5" spans="1:23" x14ac:dyDescent="0.3">
      <c r="A5" s="1" t="s">
        <v>29</v>
      </c>
      <c r="B5" s="14">
        <v>21.8</v>
      </c>
      <c r="C5" s="15">
        <v>0</v>
      </c>
      <c r="D5" s="16">
        <v>1.5</v>
      </c>
      <c r="E5" s="16">
        <v>22</v>
      </c>
      <c r="F5" s="17">
        <v>0.2</v>
      </c>
      <c r="G5" s="18">
        <v>0.2</v>
      </c>
      <c r="H5" s="19">
        <v>12.5</v>
      </c>
      <c r="I5" s="20">
        <v>0.11</v>
      </c>
      <c r="J5" s="20">
        <v>0.2</v>
      </c>
      <c r="K5" s="20">
        <v>92</v>
      </c>
      <c r="L5" s="21">
        <v>12.5</v>
      </c>
      <c r="M5" s="21">
        <v>0.11</v>
      </c>
      <c r="N5" s="21">
        <v>0</v>
      </c>
      <c r="O5" s="21">
        <v>0.2</v>
      </c>
      <c r="P5" s="21">
        <v>69</v>
      </c>
      <c r="Q5" s="22">
        <v>8.3000000000000007</v>
      </c>
      <c r="R5" s="22">
        <v>141.4</v>
      </c>
      <c r="S5" s="22">
        <v>0</v>
      </c>
      <c r="T5" s="23">
        <v>8.6</v>
      </c>
      <c r="U5" s="23">
        <v>0.19</v>
      </c>
      <c r="V5" s="23">
        <v>18.600000000000001</v>
      </c>
      <c r="W5" s="24">
        <v>0</v>
      </c>
    </row>
    <row r="6" spans="1:23" x14ac:dyDescent="0.3">
      <c r="A6" s="1" t="s">
        <v>30</v>
      </c>
      <c r="B6" s="14">
        <v>4.7</v>
      </c>
      <c r="C6" s="15">
        <v>10</v>
      </c>
      <c r="D6" s="16">
        <v>0</v>
      </c>
      <c r="E6" s="16">
        <v>95</v>
      </c>
      <c r="F6" s="17">
        <v>0</v>
      </c>
      <c r="G6" s="18">
        <v>0.7</v>
      </c>
      <c r="H6" s="19">
        <v>4500</v>
      </c>
      <c r="I6" s="20">
        <v>9.1199999999999992</v>
      </c>
      <c r="J6" s="20">
        <v>262.10000000000002</v>
      </c>
      <c r="K6" s="20">
        <v>0</v>
      </c>
      <c r="L6" s="21">
        <v>21.8</v>
      </c>
      <c r="M6" s="21">
        <v>0.12</v>
      </c>
      <c r="N6" s="21">
        <v>0.87</v>
      </c>
      <c r="O6" s="21">
        <v>0</v>
      </c>
      <c r="P6" s="21">
        <v>96</v>
      </c>
      <c r="Q6" s="22">
        <v>870.4</v>
      </c>
      <c r="R6" s="22">
        <v>101.1</v>
      </c>
      <c r="S6" s="22">
        <v>0</v>
      </c>
      <c r="T6" s="23">
        <v>29.3</v>
      </c>
      <c r="U6" s="23">
        <v>0.89</v>
      </c>
      <c r="V6" s="23">
        <v>9.1999999999999993</v>
      </c>
      <c r="W6" s="24">
        <v>1</v>
      </c>
    </row>
    <row r="7" spans="1:23" x14ac:dyDescent="0.3">
      <c r="A7" s="1" t="s">
        <v>31</v>
      </c>
      <c r="B7" s="14">
        <v>40.200000000000003</v>
      </c>
      <c r="C7" s="15">
        <v>0</v>
      </c>
      <c r="D7" s="16">
        <v>3.4</v>
      </c>
      <c r="E7" s="16">
        <v>6</v>
      </c>
      <c r="F7" s="17">
        <v>2.1</v>
      </c>
      <c r="G7" s="18">
        <v>0.2</v>
      </c>
      <c r="H7" s="19">
        <v>400</v>
      </c>
      <c r="I7" s="20">
        <v>0.93</v>
      </c>
      <c r="J7" s="20">
        <v>633.70000000000005</v>
      </c>
      <c r="K7" s="20">
        <v>0</v>
      </c>
      <c r="L7" s="21">
        <v>21.9</v>
      </c>
      <c r="M7" s="21">
        <v>0.08</v>
      </c>
      <c r="N7" s="21">
        <v>0.55000000000000004</v>
      </c>
      <c r="O7" s="21">
        <v>1.9</v>
      </c>
      <c r="P7" s="21">
        <v>16</v>
      </c>
      <c r="Q7" s="22">
        <v>337.4</v>
      </c>
      <c r="R7" s="22">
        <v>339.3</v>
      </c>
      <c r="S7" s="22">
        <v>0</v>
      </c>
      <c r="T7" s="23">
        <v>24</v>
      </c>
      <c r="U7" s="23">
        <v>0.68</v>
      </c>
      <c r="V7" s="23">
        <v>56.3</v>
      </c>
      <c r="W7" s="24">
        <v>0</v>
      </c>
    </row>
    <row r="8" spans="1:23" x14ac:dyDescent="0.3">
      <c r="A8" s="1" t="s">
        <v>32</v>
      </c>
      <c r="B8" s="14">
        <v>36</v>
      </c>
      <c r="C8" s="15">
        <v>0</v>
      </c>
      <c r="D8" s="16">
        <v>3.1</v>
      </c>
      <c r="E8" s="16">
        <v>8</v>
      </c>
      <c r="F8" s="17">
        <v>1.9</v>
      </c>
      <c r="G8" s="18">
        <v>0.2</v>
      </c>
      <c r="H8" s="19">
        <v>400</v>
      </c>
      <c r="I8" s="20">
        <v>0.91</v>
      </c>
      <c r="J8" s="20">
        <v>1142.4000000000001</v>
      </c>
      <c r="K8" s="20">
        <v>0</v>
      </c>
      <c r="L8" s="21">
        <v>21.4</v>
      </c>
      <c r="M8" s="21">
        <v>0.09</v>
      </c>
      <c r="N8" s="21">
        <v>0.56999999999999995</v>
      </c>
      <c r="O8" s="21">
        <v>1.6</v>
      </c>
      <c r="P8" s="21">
        <v>20</v>
      </c>
      <c r="Q8" s="22">
        <v>332.2</v>
      </c>
      <c r="R8" s="22">
        <v>564.79999999999995</v>
      </c>
      <c r="S8" s="22">
        <v>0</v>
      </c>
      <c r="T8" s="23">
        <v>24.9</v>
      </c>
      <c r="U8" s="23">
        <v>0.69</v>
      </c>
      <c r="V8" s="23">
        <v>51.2</v>
      </c>
      <c r="W8" s="24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5102-1BDA-444E-B1BB-484DBFD7B85D}">
  <dimension ref="A1:I38"/>
  <sheetViews>
    <sheetView tabSelected="1" zoomScale="85" zoomScaleNormal="85" workbookViewId="0">
      <selection activeCell="E6" sqref="E6"/>
    </sheetView>
  </sheetViews>
  <sheetFormatPr baseColWidth="10" defaultRowHeight="14.4" x14ac:dyDescent="0.3"/>
  <cols>
    <col min="1" max="1" width="6" bestFit="1" customWidth="1"/>
    <col min="2" max="2" width="8.5546875" style="72" bestFit="1" customWidth="1"/>
    <col min="3" max="3" width="8.77734375" bestFit="1" customWidth="1"/>
    <col min="4" max="6" width="8.21875" bestFit="1" customWidth="1"/>
    <col min="7" max="7" width="8.77734375" bestFit="1" customWidth="1"/>
    <col min="8" max="8" width="8.21875" bestFit="1" customWidth="1"/>
    <col min="9" max="9" width="8.77734375" bestFit="1" customWidth="1"/>
  </cols>
  <sheetData>
    <row r="1" spans="1:9" x14ac:dyDescent="0.3">
      <c r="A1" s="38"/>
      <c r="B1" s="71" t="s">
        <v>59</v>
      </c>
      <c r="C1" s="38" t="s">
        <v>30</v>
      </c>
      <c r="D1" s="38" t="s">
        <v>32</v>
      </c>
      <c r="E1" s="38" t="s">
        <v>31</v>
      </c>
      <c r="F1" s="38" t="s">
        <v>25</v>
      </c>
      <c r="G1" s="38" t="s">
        <v>23</v>
      </c>
      <c r="H1" s="38" t="s">
        <v>27</v>
      </c>
      <c r="I1" s="38" t="s">
        <v>29</v>
      </c>
    </row>
    <row r="2" spans="1:9" x14ac:dyDescent="0.3">
      <c r="A2" s="70" t="s">
        <v>60</v>
      </c>
      <c r="B2" s="71">
        <v>0</v>
      </c>
      <c r="C2" s="73">
        <v>0</v>
      </c>
      <c r="D2" s="73">
        <v>0</v>
      </c>
      <c r="E2" s="73">
        <v>0</v>
      </c>
      <c r="F2" s="73">
        <v>0</v>
      </c>
      <c r="G2" s="73">
        <v>0</v>
      </c>
      <c r="H2" s="73">
        <v>0</v>
      </c>
      <c r="I2" s="73">
        <v>0</v>
      </c>
    </row>
    <row r="3" spans="1:9" x14ac:dyDescent="0.3">
      <c r="A3" s="70"/>
      <c r="B3" s="71">
        <v>30</v>
      </c>
      <c r="C3" s="73">
        <v>8.4750000000000006E-2</v>
      </c>
      <c r="D3" s="73">
        <v>0.26550000000000001</v>
      </c>
      <c r="E3" s="73">
        <v>0.28810000000000002</v>
      </c>
      <c r="F3" s="73">
        <v>0.93789999999999996</v>
      </c>
      <c r="G3" s="73">
        <v>0.93789999999999996</v>
      </c>
      <c r="H3" s="73">
        <v>0.98309999999999997</v>
      </c>
      <c r="I3" s="73">
        <v>0.98309999999999997</v>
      </c>
    </row>
    <row r="4" spans="1:9" x14ac:dyDescent="0.3">
      <c r="A4" s="70"/>
      <c r="B4" s="71">
        <v>60</v>
      </c>
      <c r="C4" s="73">
        <v>0.1017</v>
      </c>
      <c r="D4" s="73">
        <v>0.32200000000000001</v>
      </c>
      <c r="E4" s="73">
        <v>0.3503</v>
      </c>
      <c r="F4" s="73">
        <v>0.93789999999999996</v>
      </c>
      <c r="G4" s="73">
        <v>0.96609999999999996</v>
      </c>
      <c r="H4" s="73">
        <v>0.99429999999999996</v>
      </c>
      <c r="I4" s="73">
        <v>0.99429999999999996</v>
      </c>
    </row>
    <row r="6" spans="1:9" x14ac:dyDescent="0.3">
      <c r="A6" s="38"/>
      <c r="B6" s="71" t="s">
        <v>59</v>
      </c>
      <c r="C6" s="38" t="s">
        <v>30</v>
      </c>
      <c r="D6" s="38" t="s">
        <v>32</v>
      </c>
      <c r="E6" s="38" t="s">
        <v>31</v>
      </c>
      <c r="F6" s="38" t="s">
        <v>25</v>
      </c>
      <c r="G6" s="38" t="s">
        <v>23</v>
      </c>
      <c r="H6" s="38" t="s">
        <v>27</v>
      </c>
      <c r="I6" s="38" t="s">
        <v>29</v>
      </c>
    </row>
    <row r="7" spans="1:9" x14ac:dyDescent="0.3">
      <c r="A7" s="70" t="s">
        <v>61</v>
      </c>
      <c r="B7" s="71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</row>
    <row r="8" spans="1:9" x14ac:dyDescent="0.3">
      <c r="A8" s="70"/>
      <c r="B8" s="71">
        <v>20</v>
      </c>
      <c r="C8" s="73">
        <v>4.5199999999999997E-2</v>
      </c>
      <c r="D8" s="73">
        <v>0.1525</v>
      </c>
      <c r="E8" s="73">
        <v>0.14119999999999999</v>
      </c>
      <c r="F8" s="73">
        <v>0.88139999999999996</v>
      </c>
      <c r="G8" s="73">
        <v>0.80230000000000001</v>
      </c>
      <c r="H8" s="73">
        <v>0.7571</v>
      </c>
      <c r="I8" s="73">
        <v>0.85880000000000001</v>
      </c>
    </row>
    <row r="9" spans="1:9" x14ac:dyDescent="0.3">
      <c r="A9" s="70"/>
      <c r="B9" s="71">
        <v>40</v>
      </c>
      <c r="C9" s="73">
        <v>0.1017</v>
      </c>
      <c r="D9" s="73">
        <v>0.36720000000000003</v>
      </c>
      <c r="E9" s="73">
        <v>0.38419999999999999</v>
      </c>
      <c r="F9" s="73">
        <v>0.90400000000000003</v>
      </c>
      <c r="G9" s="73">
        <v>0.80230000000000001</v>
      </c>
      <c r="H9" s="73">
        <v>0.90400000000000003</v>
      </c>
      <c r="I9" s="73">
        <v>0.92090000000000005</v>
      </c>
    </row>
    <row r="10" spans="1:9" x14ac:dyDescent="0.3">
      <c r="A10" s="70"/>
      <c r="B10" s="71">
        <v>60</v>
      </c>
      <c r="C10" s="73">
        <v>0.1186</v>
      </c>
      <c r="D10" s="73">
        <v>0.37290000000000001</v>
      </c>
      <c r="E10" s="73">
        <v>0.38979999999999998</v>
      </c>
      <c r="F10" s="73">
        <v>0.90400000000000003</v>
      </c>
      <c r="G10" s="73">
        <v>0.84750000000000003</v>
      </c>
      <c r="H10" s="73">
        <v>0.90400000000000003</v>
      </c>
      <c r="I10" s="73">
        <v>0.92090000000000005</v>
      </c>
    </row>
    <row r="11" spans="1:9" x14ac:dyDescent="0.3">
      <c r="C11" s="69"/>
      <c r="E11" s="69"/>
    </row>
    <row r="12" spans="1:9" x14ac:dyDescent="0.3">
      <c r="A12" s="38"/>
      <c r="B12" s="71" t="s">
        <v>59</v>
      </c>
      <c r="C12" s="38" t="s">
        <v>30</v>
      </c>
      <c r="D12" s="38" t="s">
        <v>32</v>
      </c>
      <c r="E12" s="38" t="s">
        <v>31</v>
      </c>
      <c r="F12" s="38" t="s">
        <v>25</v>
      </c>
      <c r="G12" s="38" t="s">
        <v>23</v>
      </c>
      <c r="H12" s="38" t="s">
        <v>27</v>
      </c>
      <c r="I12" s="38" t="s">
        <v>29</v>
      </c>
    </row>
    <row r="13" spans="1:9" x14ac:dyDescent="0.3">
      <c r="A13" s="70" t="s">
        <v>62</v>
      </c>
      <c r="B13" s="71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</row>
    <row r="14" spans="1:9" x14ac:dyDescent="0.3">
      <c r="A14" s="70"/>
      <c r="B14" s="71">
        <v>15</v>
      </c>
      <c r="C14" s="73">
        <v>3.39E-2</v>
      </c>
      <c r="D14" s="73">
        <v>7.9100000000000004E-2</v>
      </c>
      <c r="E14" s="73">
        <v>5.0849999999999999E-2</v>
      </c>
      <c r="F14" s="73">
        <v>0.68359999999999999</v>
      </c>
      <c r="G14" s="73">
        <v>0.63839999999999997</v>
      </c>
      <c r="H14" s="73">
        <v>0.53110000000000002</v>
      </c>
      <c r="I14" s="73">
        <v>0.61019999999999996</v>
      </c>
    </row>
    <row r="15" spans="1:9" x14ac:dyDescent="0.3">
      <c r="A15" s="70"/>
      <c r="B15" s="71">
        <v>30</v>
      </c>
      <c r="C15" s="73">
        <v>9.6049999999999996E-2</v>
      </c>
      <c r="D15" s="73">
        <v>0.3785</v>
      </c>
      <c r="E15" s="73">
        <v>0.41239999999999999</v>
      </c>
      <c r="F15" s="73">
        <v>0.90959999999999996</v>
      </c>
      <c r="G15" s="73">
        <v>0.80789999999999995</v>
      </c>
      <c r="H15" s="73">
        <v>0.95479999999999998</v>
      </c>
      <c r="I15" s="73">
        <v>0.9718</v>
      </c>
    </row>
    <row r="16" spans="1:9" x14ac:dyDescent="0.3">
      <c r="A16" s="70"/>
      <c r="B16" s="71">
        <v>45</v>
      </c>
      <c r="C16" s="73">
        <v>0.10730000000000001</v>
      </c>
      <c r="D16" s="73">
        <v>0.42370000000000002</v>
      </c>
      <c r="E16" s="73">
        <v>0.44069999999999998</v>
      </c>
      <c r="F16" s="73">
        <v>0.90959999999999996</v>
      </c>
      <c r="G16" s="73">
        <v>0.81359999999999999</v>
      </c>
      <c r="H16" s="73">
        <v>0.96609999999999996</v>
      </c>
      <c r="I16" s="73">
        <v>0.9718</v>
      </c>
    </row>
    <row r="17" spans="1:9" x14ac:dyDescent="0.3">
      <c r="A17" s="70"/>
      <c r="B17" s="71">
        <v>60</v>
      </c>
      <c r="C17" s="73">
        <v>0.10730000000000001</v>
      </c>
      <c r="D17" s="73">
        <v>0.41810000000000003</v>
      </c>
      <c r="E17" s="73">
        <v>0.44629999999999997</v>
      </c>
      <c r="F17" s="73">
        <v>0.90959999999999996</v>
      </c>
      <c r="G17" s="73">
        <v>0.87570000000000003</v>
      </c>
      <c r="H17" s="73">
        <v>0.9718</v>
      </c>
      <c r="I17" s="73">
        <v>0.97740000000000005</v>
      </c>
    </row>
    <row r="19" spans="1:9" x14ac:dyDescent="0.3">
      <c r="A19" s="38"/>
      <c r="B19" s="71" t="s">
        <v>59</v>
      </c>
      <c r="C19" s="38" t="s">
        <v>30</v>
      </c>
      <c r="D19" s="38" t="s">
        <v>32</v>
      </c>
      <c r="E19" s="38" t="s">
        <v>31</v>
      </c>
      <c r="F19" s="38" t="s">
        <v>25</v>
      </c>
      <c r="G19" s="38" t="s">
        <v>23</v>
      </c>
      <c r="H19" s="38" t="s">
        <v>27</v>
      </c>
      <c r="I19" s="38" t="s">
        <v>29</v>
      </c>
    </row>
    <row r="20" spans="1:9" x14ac:dyDescent="0.3">
      <c r="A20" s="70" t="s">
        <v>63</v>
      </c>
      <c r="B20" s="71">
        <v>0</v>
      </c>
      <c r="C20" s="73">
        <v>0</v>
      </c>
      <c r="D20" s="73">
        <v>0</v>
      </c>
      <c r="E20" s="73">
        <v>0</v>
      </c>
      <c r="F20" s="73">
        <v>0</v>
      </c>
      <c r="G20" s="73">
        <v>0</v>
      </c>
      <c r="H20" s="73">
        <v>0</v>
      </c>
      <c r="I20" s="73">
        <v>0</v>
      </c>
    </row>
    <row r="21" spans="1:9" x14ac:dyDescent="0.3">
      <c r="A21" s="70"/>
      <c r="B21" s="71">
        <f>60/8</f>
        <v>7.5</v>
      </c>
      <c r="C21" s="73">
        <v>5.6820000000000004E-3</v>
      </c>
      <c r="D21" s="73">
        <v>5.6820000000000004E-3</v>
      </c>
      <c r="E21" s="73">
        <v>5.6820000000000004E-3</v>
      </c>
      <c r="F21" s="73">
        <v>0.24429999999999999</v>
      </c>
      <c r="G21" s="73">
        <v>0.2898</v>
      </c>
      <c r="H21" s="73">
        <v>0.30680000000000002</v>
      </c>
      <c r="I21" s="73">
        <v>0.2727</v>
      </c>
    </row>
    <row r="22" spans="1:9" x14ac:dyDescent="0.3">
      <c r="A22" s="70"/>
      <c r="B22" s="71">
        <v>15</v>
      </c>
      <c r="C22" s="73">
        <v>5.6820000000000002E-2</v>
      </c>
      <c r="D22" s="73">
        <v>6.25E-2</v>
      </c>
      <c r="E22" s="73">
        <v>1.7049999999999999E-2</v>
      </c>
      <c r="F22" s="73">
        <v>0.64200000000000002</v>
      </c>
      <c r="G22" s="73">
        <v>0.5625</v>
      </c>
      <c r="H22" s="73">
        <v>0.53410000000000002</v>
      </c>
      <c r="I22" s="73">
        <v>0.59660000000000002</v>
      </c>
    </row>
    <row r="23" spans="1:9" x14ac:dyDescent="0.3">
      <c r="A23" s="70"/>
      <c r="B23" s="71">
        <v>22.5</v>
      </c>
      <c r="C23" s="73">
        <v>6.8180000000000004E-2</v>
      </c>
      <c r="D23" s="73">
        <v>0.26140000000000002</v>
      </c>
      <c r="E23" s="73">
        <v>0.2898</v>
      </c>
      <c r="F23" s="73">
        <v>0.98299999999999998</v>
      </c>
      <c r="G23" s="73">
        <v>0.99429999999999996</v>
      </c>
      <c r="H23" s="73">
        <v>0.71589999999999998</v>
      </c>
      <c r="I23" s="73">
        <v>0.90339999999999998</v>
      </c>
    </row>
    <row r="24" spans="1:9" x14ac:dyDescent="0.3">
      <c r="A24" s="70"/>
      <c r="B24" s="71">
        <v>30</v>
      </c>
      <c r="C24" s="73">
        <v>6.8180000000000004E-2</v>
      </c>
      <c r="D24" s="73">
        <v>0.48859999999999998</v>
      </c>
      <c r="E24" s="73">
        <v>0.52270000000000005</v>
      </c>
      <c r="F24" s="73">
        <v>0.98860000000000003</v>
      </c>
      <c r="G24" s="73">
        <v>1</v>
      </c>
      <c r="H24" s="73">
        <v>0.86929999999999996</v>
      </c>
      <c r="I24" s="73">
        <v>0.98860000000000003</v>
      </c>
    </row>
    <row r="25" spans="1:9" x14ac:dyDescent="0.3">
      <c r="A25" s="70"/>
      <c r="B25" s="71">
        <v>37.5</v>
      </c>
      <c r="C25" s="73">
        <v>0.108</v>
      </c>
      <c r="D25" s="73">
        <v>0.48859999999999998</v>
      </c>
      <c r="E25" s="73">
        <v>0.52270000000000005</v>
      </c>
      <c r="F25" s="73">
        <v>0.98860000000000003</v>
      </c>
      <c r="G25" s="73">
        <v>1</v>
      </c>
      <c r="H25" s="73">
        <v>0.9375</v>
      </c>
      <c r="I25" s="73">
        <v>0.99429999999999996</v>
      </c>
    </row>
    <row r="26" spans="1:9" x14ac:dyDescent="0.3">
      <c r="A26" s="70"/>
      <c r="B26" s="71">
        <v>45</v>
      </c>
      <c r="C26" s="73">
        <v>0.108</v>
      </c>
      <c r="D26" s="73">
        <v>0.48859999999999998</v>
      </c>
      <c r="E26" s="73">
        <v>0.52270000000000005</v>
      </c>
      <c r="F26" s="73">
        <v>0.98860000000000003</v>
      </c>
      <c r="G26" s="73">
        <v>1</v>
      </c>
      <c r="H26" s="73">
        <v>0.9375</v>
      </c>
      <c r="I26" s="73">
        <v>0.99429999999999996</v>
      </c>
    </row>
    <row r="27" spans="1:9" x14ac:dyDescent="0.3">
      <c r="A27" s="70"/>
      <c r="B27" s="71">
        <v>52.5</v>
      </c>
      <c r="C27" s="73">
        <v>0.108</v>
      </c>
      <c r="D27" s="73">
        <v>0.50570000000000004</v>
      </c>
      <c r="E27" s="73">
        <v>0.53410000000000002</v>
      </c>
      <c r="F27" s="73">
        <v>0.98860000000000003</v>
      </c>
      <c r="G27" s="73">
        <v>1</v>
      </c>
      <c r="H27" s="73">
        <v>0.94320000000000004</v>
      </c>
      <c r="I27" s="73">
        <v>0.99429999999999996</v>
      </c>
    </row>
    <row r="28" spans="1:9" x14ac:dyDescent="0.3">
      <c r="A28" s="70"/>
      <c r="B28" s="71">
        <v>60</v>
      </c>
      <c r="C28" s="73">
        <v>0.1648</v>
      </c>
      <c r="D28" s="73">
        <v>0.61360000000000003</v>
      </c>
      <c r="E28" s="73">
        <v>0.67049999999999998</v>
      </c>
      <c r="F28" s="73">
        <v>0.98860000000000003</v>
      </c>
      <c r="G28" s="73">
        <v>1</v>
      </c>
      <c r="H28" s="73">
        <v>0.94320000000000004</v>
      </c>
      <c r="I28" s="73">
        <v>1</v>
      </c>
    </row>
    <row r="29" spans="1:9" x14ac:dyDescent="0.3">
      <c r="C29" s="69"/>
    </row>
    <row r="30" spans="1:9" x14ac:dyDescent="0.3">
      <c r="C30" s="69"/>
      <c r="E30" s="69"/>
    </row>
    <row r="31" spans="1:9" x14ac:dyDescent="0.3">
      <c r="C31" s="69"/>
      <c r="E31" s="69"/>
    </row>
    <row r="32" spans="1:9" x14ac:dyDescent="0.3">
      <c r="C32" s="69"/>
      <c r="E32" s="69"/>
    </row>
    <row r="33" spans="3:5" x14ac:dyDescent="0.3">
      <c r="C33" s="69"/>
      <c r="E33" s="69"/>
    </row>
    <row r="34" spans="3:5" x14ac:dyDescent="0.3">
      <c r="C34" s="69"/>
      <c r="E34" s="69"/>
    </row>
    <row r="35" spans="3:5" x14ac:dyDescent="0.3">
      <c r="C35" s="69"/>
      <c r="E35" s="69"/>
    </row>
    <row r="36" spans="3:5" x14ac:dyDescent="0.3">
      <c r="C36" s="69"/>
      <c r="E36" s="69"/>
    </row>
    <row r="37" spans="3:5" x14ac:dyDescent="0.3">
      <c r="C37" s="69"/>
      <c r="E37" s="69"/>
    </row>
    <row r="38" spans="3:5" x14ac:dyDescent="0.3">
      <c r="C38" s="69"/>
    </row>
  </sheetData>
  <mergeCells count="4">
    <mergeCell ref="A2:A4"/>
    <mergeCell ref="A7:A10"/>
    <mergeCell ref="A13:A17"/>
    <mergeCell ref="A20:A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sampling_data</vt:lpstr>
      <vt:lpstr>RTD_qui²_pchi²</vt:lpstr>
      <vt:lpstr>Shape-free_models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Tiphaine Lucile Leray</dc:creator>
  <cp:lastModifiedBy>Sarah Tiphaine Lucile Leray</cp:lastModifiedBy>
  <dcterms:created xsi:type="dcterms:W3CDTF">2026-03-22T16:22:12Z</dcterms:created>
  <dcterms:modified xsi:type="dcterms:W3CDTF">2026-03-23T15:35:36Z</dcterms:modified>
</cp:coreProperties>
</file>