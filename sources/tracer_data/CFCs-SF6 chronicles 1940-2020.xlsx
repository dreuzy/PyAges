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des-github-public\trac-2-age\python\sources\chemical_data\"/>
    </mc:Choice>
  </mc:AlternateContent>
  <xr:revisionPtr revIDLastSave="0" documentId="8_{D0DEE50C-ABEC-491C-BC50-631520260B61}" xr6:coauthVersionLast="36" xr6:coauthVersionMax="36" xr10:uidLastSave="{00000000-0000-0000-0000-000000000000}"/>
  <bookViews>
    <workbookView xWindow="0" yWindow="0" windowWidth="13224" windowHeight="5172" activeTab="4" xr2:uid="{7D3F23DC-485E-456D-A948-AAB86F7973CA}"/>
  </bookViews>
  <sheets>
    <sheet name="Feuil1" sheetId="1" r:id="rId1"/>
    <sheet name="CFC11" sheetId="2" r:id="rId2"/>
    <sheet name="CFC12" sheetId="3" r:id="rId3"/>
    <sheet name="CFC113" sheetId="4" r:id="rId4"/>
    <sheet name="SF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</calcChain>
</file>

<file path=xl/sharedStrings.xml><?xml version="1.0" encoding="utf-8"?>
<sst xmlns="http://schemas.openxmlformats.org/spreadsheetml/2006/main" count="18" uniqueCount="9">
  <si>
    <t>Date</t>
  </si>
  <si>
    <t>CFC-11</t>
  </si>
  <si>
    <t>CFC-12</t>
  </si>
  <si>
    <t>CFC-113</t>
  </si>
  <si>
    <t>SF6</t>
  </si>
  <si>
    <t>in air</t>
  </si>
  <si>
    <t>NH</t>
  </si>
  <si>
    <t>YEAR</t>
  </si>
  <si>
    <t>pptv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</si>
</sst>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31"/>
      </patternFill>
    </fill>
    <fill>
      <patternFill patternType="solid">
        <fgColor indexed="43"/>
        <bgColor indexed="26"/>
      </patternFill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Fill="1" applyAlignment="1">
      <alignment horizontal="center"/>
    </xf>
    <xf numFmtId="2" fontId="3" fillId="2" borderId="1" xfId="1" applyNumberFormat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16" fontId="2" fillId="0" borderId="0" xfId="1" applyNumberFormat="1" applyFont="1" applyFill="1" applyAlignment="1">
      <alignment horizontal="center"/>
    </xf>
    <xf numFmtId="0" fontId="0" fillId="3" borderId="3" xfId="1" applyFont="1" applyFill="1" applyBorder="1" applyAlignment="1">
      <alignment horizontal="center"/>
    </xf>
    <xf numFmtId="0" fontId="0" fillId="3" borderId="4" xfId="1" applyFont="1" applyFill="1" applyBorder="1" applyAlignment="1">
      <alignment horizontal="center"/>
    </xf>
    <xf numFmtId="2" fontId="3" fillId="2" borderId="5" xfId="1" applyNumberFormat="1" applyFont="1" applyFill="1" applyBorder="1" applyAlignment="1">
      <alignment horizontal="center"/>
    </xf>
    <xf numFmtId="0" fontId="3" fillId="3" borderId="2" xfId="1" applyNumberFormat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14" fontId="3" fillId="3" borderId="7" xfId="1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</cellXfs>
  <cellStyles count="2">
    <cellStyle name="Normal" xfId="0" builtinId="0"/>
    <cellStyle name="Normal_Feuil1" xfId="1" xr:uid="{D10C821B-0EFD-4318-9C0B-584909548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6B42-49FF-4553-8EB9-316DC16586D9}">
  <dimension ref="A1:F223"/>
  <sheetViews>
    <sheetView topLeftCell="A115" zoomScale="130" zoomScaleNormal="130" workbookViewId="0">
      <selection activeCell="A5" sqref="A5"/>
    </sheetView>
  </sheetViews>
  <sheetFormatPr baseColWidth="10" defaultRowHeight="14.4" x14ac:dyDescent="0.3"/>
  <cols>
    <col min="1" max="2" width="15.88671875" style="12" customWidth="1"/>
    <col min="3" max="5" width="11.44140625" style="12"/>
    <col min="6" max="6" width="11.33203125" style="12" customWidth="1"/>
  </cols>
  <sheetData>
    <row r="1" spans="1:6" ht="15.6" x14ac:dyDescent="0.3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x14ac:dyDescent="0.3">
      <c r="A2" s="3"/>
      <c r="B2" s="3"/>
      <c r="C2" s="4" t="s">
        <v>5</v>
      </c>
      <c r="D2" s="4" t="s">
        <v>5</v>
      </c>
      <c r="E2" s="4" t="s">
        <v>5</v>
      </c>
      <c r="F2" s="4" t="s">
        <v>5</v>
      </c>
    </row>
    <row r="3" spans="1:6" ht="16.2" thickBot="1" x14ac:dyDescent="0.35">
      <c r="A3" s="5"/>
      <c r="B3" s="5"/>
      <c r="C3" s="4" t="s">
        <v>6</v>
      </c>
      <c r="D3" s="4" t="s">
        <v>6</v>
      </c>
      <c r="E3" s="4" t="s">
        <v>6</v>
      </c>
      <c r="F3" s="4" t="s">
        <v>6</v>
      </c>
    </row>
    <row r="4" spans="1:6" ht="16.2" thickBot="1" x14ac:dyDescent="0.35">
      <c r="A4" s="6" t="s">
        <v>7</v>
      </c>
      <c r="B4" s="7"/>
      <c r="C4" s="8" t="s">
        <v>8</v>
      </c>
      <c r="D4" s="8" t="s">
        <v>8</v>
      </c>
      <c r="E4" s="8" t="s">
        <v>8</v>
      </c>
      <c r="F4" s="8" t="s">
        <v>8</v>
      </c>
    </row>
    <row r="5" spans="1:6" ht="15.6" x14ac:dyDescent="0.3">
      <c r="A5" s="9">
        <v>1940</v>
      </c>
      <c r="B5" s="14">
        <v>14611</v>
      </c>
      <c r="C5" s="16">
        <v>0.01</v>
      </c>
      <c r="D5" s="16">
        <v>0.34</v>
      </c>
      <c r="E5" s="16">
        <v>0</v>
      </c>
      <c r="F5" s="16">
        <v>0.05</v>
      </c>
    </row>
    <row r="6" spans="1:6" ht="15.6" x14ac:dyDescent="0.3">
      <c r="A6" s="9">
        <v>1940.5</v>
      </c>
      <c r="B6" s="14">
        <v>14763</v>
      </c>
      <c r="C6" s="16">
        <v>0.01</v>
      </c>
      <c r="D6" s="16">
        <v>0.4</v>
      </c>
      <c r="E6" s="16">
        <v>0</v>
      </c>
      <c r="F6" s="16">
        <v>0.05</v>
      </c>
    </row>
    <row r="7" spans="1:6" ht="15.6" x14ac:dyDescent="0.3">
      <c r="A7" s="9">
        <v>1941</v>
      </c>
      <c r="B7" s="14">
        <v>14977</v>
      </c>
      <c r="C7" s="16">
        <v>0.02</v>
      </c>
      <c r="D7" s="16">
        <v>0.48</v>
      </c>
      <c r="E7" s="16">
        <v>0</v>
      </c>
      <c r="F7" s="16">
        <v>0.05</v>
      </c>
    </row>
    <row r="8" spans="1:6" ht="15.6" x14ac:dyDescent="0.3">
      <c r="A8" s="9">
        <v>1941.5</v>
      </c>
      <c r="B8" s="14">
        <v>15128</v>
      </c>
      <c r="C8" s="16">
        <v>0.02</v>
      </c>
      <c r="D8" s="16">
        <v>0.56000000000000005</v>
      </c>
      <c r="E8" s="16">
        <v>0</v>
      </c>
      <c r="F8" s="16">
        <v>0.05</v>
      </c>
    </row>
    <row r="9" spans="1:6" ht="15.6" x14ac:dyDescent="0.3">
      <c r="A9" s="9">
        <v>1942</v>
      </c>
      <c r="B9" s="14">
        <v>15342</v>
      </c>
      <c r="C9" s="16">
        <v>0.02</v>
      </c>
      <c r="D9" s="16">
        <v>0.66</v>
      </c>
      <c r="E9" s="16">
        <v>0</v>
      </c>
      <c r="F9" s="16">
        <v>0.05</v>
      </c>
    </row>
    <row r="10" spans="1:6" ht="15.6" x14ac:dyDescent="0.3">
      <c r="A10" s="9">
        <v>1942.5</v>
      </c>
      <c r="B10" s="14">
        <v>15493</v>
      </c>
      <c r="C10" s="16">
        <v>0.02</v>
      </c>
      <c r="D10" s="16">
        <v>0.76</v>
      </c>
      <c r="E10" s="16">
        <v>0</v>
      </c>
      <c r="F10" s="16">
        <v>0.05</v>
      </c>
    </row>
    <row r="11" spans="1:6" ht="15.6" x14ac:dyDescent="0.3">
      <c r="A11" s="9">
        <v>1943</v>
      </c>
      <c r="B11" s="14">
        <v>15707</v>
      </c>
      <c r="C11" s="16">
        <v>0.03</v>
      </c>
      <c r="D11" s="16">
        <v>0.88</v>
      </c>
      <c r="E11" s="16">
        <v>0</v>
      </c>
      <c r="F11" s="16">
        <v>0.05</v>
      </c>
    </row>
    <row r="12" spans="1:6" ht="15.6" x14ac:dyDescent="0.3">
      <c r="A12" s="9">
        <v>1943.5</v>
      </c>
      <c r="B12" s="14">
        <v>15858</v>
      </c>
      <c r="C12" s="16">
        <v>0.03</v>
      </c>
      <c r="D12" s="16">
        <v>1.01</v>
      </c>
      <c r="E12" s="16">
        <v>0.01</v>
      </c>
      <c r="F12" s="16">
        <v>0.05</v>
      </c>
    </row>
    <row r="13" spans="1:6" ht="15.6" x14ac:dyDescent="0.3">
      <c r="A13" s="9">
        <v>1944</v>
      </c>
      <c r="B13" s="14">
        <v>16072</v>
      </c>
      <c r="C13" s="16">
        <v>0.04</v>
      </c>
      <c r="D13" s="16">
        <v>1.18</v>
      </c>
      <c r="E13" s="16">
        <v>0.01</v>
      </c>
      <c r="F13" s="16">
        <v>0.05</v>
      </c>
    </row>
    <row r="14" spans="1:6" ht="15.6" x14ac:dyDescent="0.3">
      <c r="A14" s="9">
        <v>1944.5</v>
      </c>
      <c r="B14" s="14">
        <v>16224</v>
      </c>
      <c r="C14" s="16">
        <v>0.04</v>
      </c>
      <c r="D14" s="16">
        <v>1.34</v>
      </c>
      <c r="E14" s="16">
        <v>0.03</v>
      </c>
      <c r="F14" s="16">
        <v>0.05</v>
      </c>
    </row>
    <row r="15" spans="1:6" ht="15.6" x14ac:dyDescent="0.3">
      <c r="A15" s="9">
        <v>1945</v>
      </c>
      <c r="B15" s="14">
        <v>16438</v>
      </c>
      <c r="C15" s="16">
        <v>0.05</v>
      </c>
      <c r="D15" s="16">
        <v>1.56</v>
      </c>
      <c r="E15" s="16">
        <v>0.04</v>
      </c>
      <c r="F15" s="16">
        <v>0.05</v>
      </c>
    </row>
    <row r="16" spans="1:6" ht="15.6" x14ac:dyDescent="0.3">
      <c r="A16" s="9">
        <v>1945.5</v>
      </c>
      <c r="B16" s="14">
        <v>16589</v>
      </c>
      <c r="C16" s="16">
        <v>0.05</v>
      </c>
      <c r="D16" s="16">
        <v>1.77</v>
      </c>
      <c r="E16" s="16">
        <v>0.06</v>
      </c>
      <c r="F16" s="16">
        <v>0.05</v>
      </c>
    </row>
    <row r="17" spans="1:6" ht="15.6" x14ac:dyDescent="0.3">
      <c r="A17" s="9">
        <v>1946</v>
      </c>
      <c r="B17" s="14">
        <v>16803</v>
      </c>
      <c r="C17" s="16">
        <v>7.0000000000000007E-2</v>
      </c>
      <c r="D17" s="16">
        <v>2.15</v>
      </c>
      <c r="E17" s="16">
        <v>7.0000000000000007E-2</v>
      </c>
      <c r="F17" s="16">
        <v>0.05</v>
      </c>
    </row>
    <row r="18" spans="1:6" ht="15.6" x14ac:dyDescent="0.3">
      <c r="A18" s="9">
        <v>1946.5</v>
      </c>
      <c r="B18" s="14">
        <v>16954</v>
      </c>
      <c r="C18" s="16">
        <v>0.08</v>
      </c>
      <c r="D18" s="16">
        <v>2.5299999999999998</v>
      </c>
      <c r="E18" s="16">
        <v>0.09</v>
      </c>
      <c r="F18" s="16">
        <v>0.05</v>
      </c>
    </row>
    <row r="19" spans="1:6" ht="15.6" x14ac:dyDescent="0.3">
      <c r="A19" s="9">
        <v>1947</v>
      </c>
      <c r="B19" s="14">
        <v>17168</v>
      </c>
      <c r="C19" s="16">
        <v>0.11</v>
      </c>
      <c r="D19" s="16">
        <v>3.11</v>
      </c>
      <c r="E19" s="16">
        <v>0.11</v>
      </c>
      <c r="F19" s="16">
        <v>0.05</v>
      </c>
    </row>
    <row r="20" spans="1:6" ht="15.6" x14ac:dyDescent="0.3">
      <c r="A20" s="9">
        <v>1947.5</v>
      </c>
      <c r="B20" s="14">
        <v>17319</v>
      </c>
      <c r="C20" s="16">
        <v>0.14000000000000001</v>
      </c>
      <c r="D20" s="16">
        <v>3.7</v>
      </c>
      <c r="E20" s="16">
        <v>0.13</v>
      </c>
      <c r="F20" s="16">
        <v>0.05</v>
      </c>
    </row>
    <row r="21" spans="1:6" ht="15.6" x14ac:dyDescent="0.3">
      <c r="A21" s="10">
        <v>1948</v>
      </c>
      <c r="B21" s="14">
        <v>17533</v>
      </c>
      <c r="C21" s="16">
        <v>0.2</v>
      </c>
      <c r="D21" s="16">
        <v>4.37</v>
      </c>
      <c r="E21" s="16">
        <v>0.15</v>
      </c>
      <c r="F21" s="16">
        <v>0.05</v>
      </c>
    </row>
    <row r="22" spans="1:6" ht="15.6" x14ac:dyDescent="0.3">
      <c r="A22" s="10">
        <v>1948.5</v>
      </c>
      <c r="B22" s="14">
        <v>17685</v>
      </c>
      <c r="C22" s="16">
        <v>0.25</v>
      </c>
      <c r="D22" s="16">
        <v>5.04</v>
      </c>
      <c r="E22" s="16">
        <v>0.17</v>
      </c>
      <c r="F22" s="16">
        <v>0.05</v>
      </c>
    </row>
    <row r="23" spans="1:6" ht="15.6" x14ac:dyDescent="0.3">
      <c r="A23" s="10">
        <v>1949</v>
      </c>
      <c r="B23" s="14">
        <v>17899</v>
      </c>
      <c r="C23" s="16">
        <v>0.34</v>
      </c>
      <c r="D23" s="16">
        <v>5.76</v>
      </c>
      <c r="E23" s="16">
        <v>0.2</v>
      </c>
      <c r="F23" s="16">
        <v>0.05</v>
      </c>
    </row>
    <row r="24" spans="1:6" ht="15.6" x14ac:dyDescent="0.3">
      <c r="A24" s="10">
        <v>1949.5</v>
      </c>
      <c r="B24" s="14">
        <v>18050</v>
      </c>
      <c r="C24" s="16">
        <v>0.42</v>
      </c>
      <c r="D24" s="16">
        <v>6.48</v>
      </c>
      <c r="E24" s="16">
        <v>0.22</v>
      </c>
      <c r="F24" s="16">
        <v>0.05</v>
      </c>
    </row>
    <row r="25" spans="1:6" ht="15.6" x14ac:dyDescent="0.3">
      <c r="A25" s="10">
        <v>1950</v>
      </c>
      <c r="B25" s="14">
        <v>18264</v>
      </c>
      <c r="C25" s="16">
        <v>0.55000000000000004</v>
      </c>
      <c r="D25" s="16">
        <v>7.28</v>
      </c>
      <c r="E25" s="16">
        <v>0.25</v>
      </c>
      <c r="F25" s="16">
        <v>0.05</v>
      </c>
    </row>
    <row r="26" spans="1:6" ht="15.6" x14ac:dyDescent="0.3">
      <c r="A26" s="10">
        <v>1950.5</v>
      </c>
      <c r="B26" s="14">
        <v>18415</v>
      </c>
      <c r="C26" s="16">
        <v>0.67</v>
      </c>
      <c r="D26" s="16">
        <v>8.07</v>
      </c>
      <c r="E26" s="16">
        <v>0.28000000000000003</v>
      </c>
      <c r="F26" s="16">
        <v>0.05</v>
      </c>
    </row>
    <row r="27" spans="1:6" ht="15.6" x14ac:dyDescent="0.3">
      <c r="A27" s="10">
        <v>1951</v>
      </c>
      <c r="B27" s="14">
        <v>18629</v>
      </c>
      <c r="C27" s="16">
        <v>0.85</v>
      </c>
      <c r="D27" s="16">
        <v>8.93</v>
      </c>
      <c r="E27" s="16">
        <v>0.31</v>
      </c>
      <c r="F27" s="16">
        <v>0.05</v>
      </c>
    </row>
    <row r="28" spans="1:6" ht="15.6" x14ac:dyDescent="0.3">
      <c r="A28" s="10">
        <v>1951.5</v>
      </c>
      <c r="B28" s="14">
        <v>18780</v>
      </c>
      <c r="C28" s="16">
        <v>1.02</v>
      </c>
      <c r="D28" s="16">
        <v>9.8000000000000007</v>
      </c>
      <c r="E28" s="16">
        <v>0.34</v>
      </c>
      <c r="F28" s="16">
        <v>0.05</v>
      </c>
    </row>
    <row r="29" spans="1:6" ht="15.6" x14ac:dyDescent="0.3">
      <c r="A29" s="10">
        <v>1952</v>
      </c>
      <c r="B29" s="14">
        <v>18994</v>
      </c>
      <c r="C29" s="16">
        <v>1.27</v>
      </c>
      <c r="D29" s="16">
        <v>10.7</v>
      </c>
      <c r="E29" s="16">
        <v>0.37</v>
      </c>
      <c r="F29" s="16">
        <v>0.05</v>
      </c>
    </row>
    <row r="30" spans="1:6" ht="15.6" x14ac:dyDescent="0.3">
      <c r="A30" s="10">
        <v>1952.5</v>
      </c>
      <c r="B30" s="14">
        <v>19146</v>
      </c>
      <c r="C30" s="16">
        <v>1.52</v>
      </c>
      <c r="D30" s="16">
        <v>11.6</v>
      </c>
      <c r="E30" s="16">
        <v>0.41</v>
      </c>
      <c r="F30" s="16">
        <v>0.05</v>
      </c>
    </row>
    <row r="31" spans="1:6" ht="15.6" x14ac:dyDescent="0.3">
      <c r="A31" s="10">
        <v>1953</v>
      </c>
      <c r="B31" s="14">
        <f>B30+214</f>
        <v>19360</v>
      </c>
      <c r="C31" s="16">
        <v>1.87</v>
      </c>
      <c r="D31" s="16">
        <v>12.6</v>
      </c>
      <c r="E31" s="16">
        <v>0.44</v>
      </c>
      <c r="F31" s="16">
        <v>0.05</v>
      </c>
    </row>
    <row r="32" spans="1:6" ht="15.6" x14ac:dyDescent="0.3">
      <c r="A32" s="10">
        <v>1953.5</v>
      </c>
      <c r="B32" s="14">
        <f>B31+151</f>
        <v>19511</v>
      </c>
      <c r="C32" s="16">
        <v>2.2000000000000002</v>
      </c>
      <c r="D32" s="16">
        <v>13.6</v>
      </c>
      <c r="E32" s="16">
        <v>0.49</v>
      </c>
      <c r="F32" s="16">
        <v>0.05</v>
      </c>
    </row>
    <row r="33" spans="1:6" ht="15.6" x14ac:dyDescent="0.3">
      <c r="A33" s="10">
        <v>1954</v>
      </c>
      <c r="B33" s="14">
        <f>B32+214</f>
        <v>19725</v>
      </c>
      <c r="C33" s="16">
        <v>2.63</v>
      </c>
      <c r="D33" s="16">
        <v>14.7</v>
      </c>
      <c r="E33" s="16">
        <v>0.53</v>
      </c>
      <c r="F33" s="16">
        <v>0.06</v>
      </c>
    </row>
    <row r="34" spans="1:6" ht="15.6" x14ac:dyDescent="0.3">
      <c r="A34" s="10">
        <v>1954.5</v>
      </c>
      <c r="B34" s="14">
        <f>B33+151</f>
        <v>19876</v>
      </c>
      <c r="C34" s="16">
        <v>3.04</v>
      </c>
      <c r="D34" s="16">
        <v>15.9</v>
      </c>
      <c r="E34" s="16">
        <v>0.57999999999999996</v>
      </c>
      <c r="F34" s="16">
        <v>0.06</v>
      </c>
    </row>
    <row r="35" spans="1:6" ht="15.6" x14ac:dyDescent="0.3">
      <c r="A35" s="10">
        <v>1955</v>
      </c>
      <c r="B35" s="14">
        <f>B34+214</f>
        <v>20090</v>
      </c>
      <c r="C35" s="16">
        <v>3.56</v>
      </c>
      <c r="D35" s="16">
        <v>17.100000000000001</v>
      </c>
      <c r="E35" s="16">
        <v>0.63</v>
      </c>
      <c r="F35" s="16">
        <v>0.06</v>
      </c>
    </row>
    <row r="36" spans="1:6" ht="15.6" x14ac:dyDescent="0.3">
      <c r="A36" s="10">
        <v>1955.5</v>
      </c>
      <c r="B36" s="14">
        <f>B35+151</f>
        <v>20241</v>
      </c>
      <c r="C36" s="16">
        <v>4.07</v>
      </c>
      <c r="D36" s="16">
        <v>18.399999999999999</v>
      </c>
      <c r="E36" s="16">
        <v>0.69</v>
      </c>
      <c r="F36" s="16">
        <v>0.06</v>
      </c>
    </row>
    <row r="37" spans="1:6" ht="15.6" x14ac:dyDescent="0.3">
      <c r="A37" s="10">
        <v>1956</v>
      </c>
      <c r="B37" s="14">
        <f>B36+214</f>
        <v>20455</v>
      </c>
      <c r="C37" s="16">
        <v>4.71</v>
      </c>
      <c r="D37" s="16">
        <v>19.899999999999999</v>
      </c>
      <c r="E37" s="16">
        <v>0.75</v>
      </c>
      <c r="F37" s="16">
        <v>0.06</v>
      </c>
    </row>
    <row r="38" spans="1:6" ht="15.6" x14ac:dyDescent="0.3">
      <c r="A38" s="10">
        <v>1956.5</v>
      </c>
      <c r="B38" s="14">
        <f>B37+152</f>
        <v>20607</v>
      </c>
      <c r="C38" s="16">
        <v>5.35</v>
      </c>
      <c r="D38" s="16">
        <v>21.4</v>
      </c>
      <c r="E38" s="16">
        <v>0.81</v>
      </c>
      <c r="F38" s="16">
        <v>0.06</v>
      </c>
    </row>
    <row r="39" spans="1:6" ht="15.6" x14ac:dyDescent="0.3">
      <c r="A39" s="10">
        <v>1957</v>
      </c>
      <c r="B39" s="14">
        <f>B38+214</f>
        <v>20821</v>
      </c>
      <c r="C39" s="16">
        <v>6.06</v>
      </c>
      <c r="D39" s="16">
        <v>23.1</v>
      </c>
      <c r="E39" s="16">
        <v>0.88</v>
      </c>
      <c r="F39" s="16">
        <v>0.06</v>
      </c>
    </row>
    <row r="40" spans="1:6" ht="15.6" x14ac:dyDescent="0.3">
      <c r="A40" s="10">
        <v>1957.5</v>
      </c>
      <c r="B40" s="14">
        <f>B39+151</f>
        <v>20972</v>
      </c>
      <c r="C40" s="16">
        <v>6.77</v>
      </c>
      <c r="D40" s="16">
        <v>24.7</v>
      </c>
      <c r="E40" s="16">
        <v>0.95</v>
      </c>
      <c r="F40" s="16">
        <v>0.06</v>
      </c>
    </row>
    <row r="41" spans="1:6" ht="15.6" x14ac:dyDescent="0.3">
      <c r="A41" s="10">
        <v>1958</v>
      </c>
      <c r="B41" s="14">
        <f>B40+214</f>
        <v>21186</v>
      </c>
      <c r="C41" s="16">
        <v>7.42</v>
      </c>
      <c r="D41" s="16">
        <v>26.5</v>
      </c>
      <c r="E41" s="16">
        <v>1.03</v>
      </c>
      <c r="F41" s="16">
        <v>0.06</v>
      </c>
    </row>
    <row r="42" spans="1:6" ht="15.6" x14ac:dyDescent="0.3">
      <c r="A42" s="10">
        <v>1958.5</v>
      </c>
      <c r="B42" s="14">
        <f>B41+151</f>
        <v>21337</v>
      </c>
      <c r="C42" s="16">
        <v>8.06</v>
      </c>
      <c r="D42" s="16">
        <v>28.3</v>
      </c>
      <c r="E42" s="16">
        <v>1.1100000000000001</v>
      </c>
      <c r="F42" s="16">
        <v>0.06</v>
      </c>
    </row>
    <row r="43" spans="1:6" ht="15.6" x14ac:dyDescent="0.3">
      <c r="A43" s="10">
        <v>1959</v>
      </c>
      <c r="B43" s="14">
        <f>B42+214</f>
        <v>21551</v>
      </c>
      <c r="C43" s="16">
        <v>8.7200000000000006</v>
      </c>
      <c r="D43" s="16">
        <v>30.2</v>
      </c>
      <c r="E43" s="16">
        <v>1.19</v>
      </c>
      <c r="F43" s="16">
        <v>0.06</v>
      </c>
    </row>
    <row r="44" spans="1:6" ht="15.6" x14ac:dyDescent="0.3">
      <c r="A44" s="10">
        <v>1959.5</v>
      </c>
      <c r="B44" s="14">
        <f>B43+151</f>
        <v>21702</v>
      </c>
      <c r="C44" s="16">
        <v>9.3699999999999992</v>
      </c>
      <c r="D44" s="16">
        <v>32.200000000000003</v>
      </c>
      <c r="E44" s="16">
        <v>1.29</v>
      </c>
      <c r="F44" s="16">
        <v>0.06</v>
      </c>
    </row>
    <row r="45" spans="1:6" ht="15.6" x14ac:dyDescent="0.3">
      <c r="A45" s="10">
        <v>1960</v>
      </c>
      <c r="B45" s="14">
        <f>B44+214</f>
        <v>21916</v>
      </c>
      <c r="C45" s="16">
        <v>10.199999999999999</v>
      </c>
      <c r="D45" s="16">
        <v>34.5</v>
      </c>
      <c r="E45" s="16">
        <v>1.39</v>
      </c>
      <c r="F45" s="16">
        <v>7.0000000000000007E-2</v>
      </c>
    </row>
    <row r="46" spans="1:6" ht="15.6" x14ac:dyDescent="0.3">
      <c r="A46" s="10">
        <v>1960.5</v>
      </c>
      <c r="B46" s="14">
        <f>B45+152</f>
        <v>22068</v>
      </c>
      <c r="C46" s="16">
        <v>11.1</v>
      </c>
      <c r="D46" s="16">
        <v>36.9</v>
      </c>
      <c r="E46" s="16">
        <v>1.5</v>
      </c>
      <c r="F46" s="16">
        <v>7.0000000000000007E-2</v>
      </c>
    </row>
    <row r="47" spans="1:6" ht="15.6" x14ac:dyDescent="0.3">
      <c r="A47" s="10">
        <v>1961</v>
      </c>
      <c r="B47" s="14">
        <f>B46+214</f>
        <v>22282</v>
      </c>
      <c r="C47" s="16">
        <v>12.2</v>
      </c>
      <c r="D47" s="16">
        <v>39.5</v>
      </c>
      <c r="E47" s="16">
        <v>1.61</v>
      </c>
      <c r="F47" s="16">
        <v>7.0000000000000007E-2</v>
      </c>
    </row>
    <row r="48" spans="1:6" ht="15.6" x14ac:dyDescent="0.3">
      <c r="A48" s="10">
        <v>1961.5</v>
      </c>
      <c r="B48" s="14">
        <f>B47+151</f>
        <v>22433</v>
      </c>
      <c r="C48" s="16">
        <v>13.3</v>
      </c>
      <c r="D48" s="16">
        <v>42.1</v>
      </c>
      <c r="E48" s="16">
        <v>1.74</v>
      </c>
      <c r="F48" s="16">
        <v>0.08</v>
      </c>
    </row>
    <row r="49" spans="1:6" ht="15.6" x14ac:dyDescent="0.3">
      <c r="A49" s="10">
        <v>1962</v>
      </c>
      <c r="B49" s="14">
        <f>B48+214</f>
        <v>22647</v>
      </c>
      <c r="C49" s="16">
        <v>14.8</v>
      </c>
      <c r="D49" s="16">
        <v>45.1</v>
      </c>
      <c r="E49" s="16">
        <v>1.86</v>
      </c>
      <c r="F49" s="16">
        <v>0.08</v>
      </c>
    </row>
    <row r="50" spans="1:6" ht="15.6" x14ac:dyDescent="0.3">
      <c r="A50" s="10">
        <v>1962.5</v>
      </c>
      <c r="B50" s="14">
        <f>B49+152</f>
        <v>22799</v>
      </c>
      <c r="C50" s="16">
        <v>16.2</v>
      </c>
      <c r="D50" s="16">
        <v>48.1</v>
      </c>
      <c r="E50" s="16">
        <v>2</v>
      </c>
      <c r="F50" s="16">
        <v>0.08</v>
      </c>
    </row>
    <row r="51" spans="1:6" ht="15.6" x14ac:dyDescent="0.3">
      <c r="A51" s="10">
        <v>1963</v>
      </c>
      <c r="B51" s="14">
        <f>B50+152</f>
        <v>22951</v>
      </c>
      <c r="C51" s="16">
        <v>17.899999999999999</v>
      </c>
      <c r="D51" s="16">
        <v>51.6</v>
      </c>
      <c r="E51" s="16">
        <v>2.15</v>
      </c>
      <c r="F51" s="16">
        <v>0.09</v>
      </c>
    </row>
    <row r="52" spans="1:6" ht="15.6" x14ac:dyDescent="0.3">
      <c r="A52" s="10">
        <v>1963.5</v>
      </c>
      <c r="B52" s="14">
        <f>B51+212</f>
        <v>23163</v>
      </c>
      <c r="C52" s="16">
        <v>19.7</v>
      </c>
      <c r="D52" s="16">
        <v>55.1</v>
      </c>
      <c r="E52" s="16">
        <v>2.3199999999999998</v>
      </c>
      <c r="F52" s="16">
        <v>0.1</v>
      </c>
    </row>
    <row r="53" spans="1:6" ht="15.6" x14ac:dyDescent="0.3">
      <c r="A53" s="10">
        <v>1964</v>
      </c>
      <c r="B53" s="14">
        <f>B52+214</f>
        <v>23377</v>
      </c>
      <c r="C53" s="16">
        <v>21.7</v>
      </c>
      <c r="D53" s="16">
        <v>59.2</v>
      </c>
      <c r="E53" s="16">
        <v>2.4900000000000002</v>
      </c>
      <c r="F53" s="16">
        <v>0.1</v>
      </c>
    </row>
    <row r="54" spans="1:6" ht="15.6" x14ac:dyDescent="0.3">
      <c r="A54" s="10">
        <v>1964.5</v>
      </c>
      <c r="B54" s="14">
        <f>B53+152</f>
        <v>23529</v>
      </c>
      <c r="C54" s="16">
        <v>23.8</v>
      </c>
      <c r="D54" s="16">
        <v>63.3</v>
      </c>
      <c r="E54" s="16">
        <v>2.67</v>
      </c>
      <c r="F54" s="16">
        <v>0.11</v>
      </c>
    </row>
    <row r="55" spans="1:6" ht="15.6" x14ac:dyDescent="0.3">
      <c r="A55" s="10">
        <v>1965</v>
      </c>
      <c r="B55" s="14">
        <f>B54+214</f>
        <v>23743</v>
      </c>
      <c r="C55" s="16">
        <v>26.1</v>
      </c>
      <c r="D55" s="16">
        <v>67.900000000000006</v>
      </c>
      <c r="E55" s="16">
        <v>2.86</v>
      </c>
      <c r="F55" s="16">
        <v>0.12</v>
      </c>
    </row>
    <row r="56" spans="1:6" ht="15.6" x14ac:dyDescent="0.3">
      <c r="A56" s="10">
        <v>1965.5</v>
      </c>
      <c r="B56" s="14">
        <f>B55+151</f>
        <v>23894</v>
      </c>
      <c r="C56" s="16">
        <v>28.4</v>
      </c>
      <c r="D56" s="16">
        <v>72.5</v>
      </c>
      <c r="E56" s="16">
        <v>3.08</v>
      </c>
      <c r="F56" s="16">
        <v>0.13</v>
      </c>
    </row>
    <row r="57" spans="1:6" ht="15.6" x14ac:dyDescent="0.3">
      <c r="A57" s="10">
        <v>1966</v>
      </c>
      <c r="B57" s="14">
        <f>B56+214</f>
        <v>24108</v>
      </c>
      <c r="C57" s="16">
        <v>31</v>
      </c>
      <c r="D57" s="16">
        <v>77.599999999999994</v>
      </c>
      <c r="E57" s="16">
        <v>3.29</v>
      </c>
      <c r="F57" s="16">
        <v>0.14000000000000001</v>
      </c>
    </row>
    <row r="58" spans="1:6" ht="15.6" x14ac:dyDescent="0.3">
      <c r="A58" s="10">
        <v>1966.5</v>
      </c>
      <c r="B58" s="14">
        <f>B57+151</f>
        <v>24259</v>
      </c>
      <c r="C58" s="16">
        <v>33.6</v>
      </c>
      <c r="D58" s="16">
        <v>82.8</v>
      </c>
      <c r="E58" s="16">
        <v>3.54</v>
      </c>
      <c r="F58" s="16">
        <v>0.15</v>
      </c>
    </row>
    <row r="59" spans="1:6" ht="15.6" x14ac:dyDescent="0.3">
      <c r="A59" s="10">
        <v>1967</v>
      </c>
      <c r="B59" s="14">
        <f>B58+214</f>
        <v>24473</v>
      </c>
      <c r="C59" s="16">
        <v>36.5</v>
      </c>
      <c r="D59" s="16">
        <v>88.5</v>
      </c>
      <c r="E59" s="16">
        <v>3.79</v>
      </c>
      <c r="F59" s="16">
        <v>0.16</v>
      </c>
    </row>
    <row r="60" spans="1:6" ht="15.6" x14ac:dyDescent="0.3">
      <c r="A60" s="10">
        <v>1967.5</v>
      </c>
      <c r="B60" s="14">
        <f>B59+151</f>
        <v>24624</v>
      </c>
      <c r="C60" s="16">
        <v>39.5</v>
      </c>
      <c r="D60" s="16">
        <v>94.3</v>
      </c>
      <c r="E60" s="16">
        <v>4.07</v>
      </c>
      <c r="F60" s="16">
        <v>0.18</v>
      </c>
    </row>
    <row r="61" spans="1:6" ht="15.6" x14ac:dyDescent="0.3">
      <c r="A61" s="10">
        <v>1968</v>
      </c>
      <c r="B61" s="14">
        <f>B60+214</f>
        <v>24838</v>
      </c>
      <c r="C61" s="16">
        <v>42.8</v>
      </c>
      <c r="D61" s="16">
        <v>100.7</v>
      </c>
      <c r="E61" s="16">
        <v>4.3499999999999996</v>
      </c>
      <c r="F61" s="16">
        <v>0.19</v>
      </c>
    </row>
    <row r="62" spans="1:6" ht="15.6" x14ac:dyDescent="0.3">
      <c r="A62" s="10">
        <v>1968.5</v>
      </c>
      <c r="B62" s="14">
        <f>B61+152</f>
        <v>24990</v>
      </c>
      <c r="C62" s="16">
        <v>46.1</v>
      </c>
      <c r="D62" s="16">
        <v>107.2</v>
      </c>
      <c r="E62" s="16">
        <v>4.67</v>
      </c>
      <c r="F62" s="16">
        <v>0.2</v>
      </c>
    </row>
    <row r="63" spans="1:6" ht="15.6" x14ac:dyDescent="0.3">
      <c r="A63" s="10">
        <v>1969</v>
      </c>
      <c r="B63" s="14">
        <f>B62+214</f>
        <v>25204</v>
      </c>
      <c r="C63" s="16">
        <v>50</v>
      </c>
      <c r="D63" s="16">
        <v>114.4</v>
      </c>
      <c r="E63" s="16">
        <v>5</v>
      </c>
      <c r="F63" s="16">
        <v>0.21</v>
      </c>
    </row>
    <row r="64" spans="1:6" ht="15.6" x14ac:dyDescent="0.3">
      <c r="A64" s="10">
        <v>1969.5</v>
      </c>
      <c r="B64" s="14">
        <f>B63+151</f>
        <v>25355</v>
      </c>
      <c r="C64" s="16">
        <v>53.8</v>
      </c>
      <c r="D64" s="16">
        <v>121.5</v>
      </c>
      <c r="E64" s="16">
        <v>5.37</v>
      </c>
      <c r="F64" s="16">
        <v>0.22</v>
      </c>
    </row>
    <row r="65" spans="1:6" ht="15.6" x14ac:dyDescent="0.3">
      <c r="A65" s="10">
        <v>1970</v>
      </c>
      <c r="B65" s="14">
        <f>B64+214</f>
        <v>25569</v>
      </c>
      <c r="C65" s="16">
        <v>58.2</v>
      </c>
      <c r="D65" s="16">
        <v>129.30000000000001</v>
      </c>
      <c r="E65" s="16">
        <v>5.75</v>
      </c>
      <c r="F65" s="16">
        <v>0.23</v>
      </c>
    </row>
    <row r="66" spans="1:6" ht="15.6" x14ac:dyDescent="0.3">
      <c r="A66" s="10">
        <v>1970.5</v>
      </c>
      <c r="B66" s="14">
        <f>B65+151</f>
        <v>25720</v>
      </c>
      <c r="C66" s="16">
        <v>62.5</v>
      </c>
      <c r="D66" s="16">
        <v>137.19999999999999</v>
      </c>
      <c r="E66" s="16">
        <v>6.17</v>
      </c>
      <c r="F66" s="16">
        <v>0.25</v>
      </c>
    </row>
    <row r="67" spans="1:6" ht="15.6" x14ac:dyDescent="0.3">
      <c r="A67" s="10">
        <v>1971</v>
      </c>
      <c r="B67" s="14">
        <f>B66+214</f>
        <v>25934</v>
      </c>
      <c r="C67" s="16">
        <v>67.3</v>
      </c>
      <c r="D67" s="16">
        <v>145.5</v>
      </c>
      <c r="E67" s="16">
        <v>6.6</v>
      </c>
      <c r="F67" s="16">
        <v>0.26</v>
      </c>
    </row>
    <row r="68" spans="1:6" ht="15.6" x14ac:dyDescent="0.3">
      <c r="A68" s="10">
        <v>1971.5</v>
      </c>
      <c r="B68" s="14">
        <f>B67+151</f>
        <v>26085</v>
      </c>
      <c r="C68" s="16">
        <v>72.099999999999994</v>
      </c>
      <c r="D68" s="16">
        <v>153.9</v>
      </c>
      <c r="E68" s="16">
        <v>7.08</v>
      </c>
      <c r="F68" s="16">
        <v>0.27</v>
      </c>
    </row>
    <row r="69" spans="1:6" ht="15.6" x14ac:dyDescent="0.3">
      <c r="A69" s="10">
        <v>1972</v>
      </c>
      <c r="B69" s="14">
        <f>B68+214</f>
        <v>26299</v>
      </c>
      <c r="C69" s="16">
        <v>77.400000000000006</v>
      </c>
      <c r="D69" s="16">
        <v>162.9</v>
      </c>
      <c r="E69" s="16">
        <v>7.57</v>
      </c>
      <c r="F69" s="16">
        <v>0.28000000000000003</v>
      </c>
    </row>
    <row r="70" spans="1:6" ht="15.6" x14ac:dyDescent="0.3">
      <c r="A70" s="10">
        <v>1972.5</v>
      </c>
      <c r="B70" s="14">
        <f>B69+152</f>
        <v>26451</v>
      </c>
      <c r="C70" s="16">
        <v>82.8</v>
      </c>
      <c r="D70" s="16">
        <v>172</v>
      </c>
      <c r="E70" s="16">
        <v>8.14</v>
      </c>
      <c r="F70" s="16">
        <v>0.3</v>
      </c>
    </row>
    <row r="71" spans="1:6" ht="15.6" x14ac:dyDescent="0.3">
      <c r="A71" s="10">
        <v>1973</v>
      </c>
      <c r="B71" s="14">
        <f>B70+214</f>
        <v>26665</v>
      </c>
      <c r="C71" s="16">
        <v>88.9</v>
      </c>
      <c r="D71" s="16">
        <v>182</v>
      </c>
      <c r="E71" s="16">
        <v>8.69</v>
      </c>
      <c r="F71" s="16">
        <v>0.32</v>
      </c>
    </row>
    <row r="72" spans="1:6" ht="15.6" x14ac:dyDescent="0.3">
      <c r="A72" s="10">
        <v>1973.5</v>
      </c>
      <c r="B72" s="14">
        <f>B71+151</f>
        <v>26816</v>
      </c>
      <c r="C72" s="16">
        <v>95</v>
      </c>
      <c r="D72" s="16">
        <v>192.1</v>
      </c>
      <c r="E72" s="16">
        <v>9.33</v>
      </c>
      <c r="F72" s="16">
        <v>0.34</v>
      </c>
    </row>
    <row r="73" spans="1:6" ht="15.6" x14ac:dyDescent="0.3">
      <c r="A73" s="10">
        <v>1974</v>
      </c>
      <c r="B73" s="14">
        <f>B72+214</f>
        <v>27030</v>
      </c>
      <c r="C73" s="16">
        <v>101.6</v>
      </c>
      <c r="D73" s="16">
        <v>202.9</v>
      </c>
      <c r="E73" s="16">
        <v>9.9700000000000006</v>
      </c>
      <c r="F73" s="16">
        <v>0.36</v>
      </c>
    </row>
    <row r="74" spans="1:6" ht="15.6" x14ac:dyDescent="0.3">
      <c r="A74" s="10">
        <v>1974.5</v>
      </c>
      <c r="B74" s="14">
        <f>B73+151</f>
        <v>27181</v>
      </c>
      <c r="C74" s="16">
        <v>108.3</v>
      </c>
      <c r="D74" s="16">
        <v>213.7</v>
      </c>
      <c r="E74" s="16">
        <v>10.7</v>
      </c>
      <c r="F74" s="16">
        <v>0.39</v>
      </c>
    </row>
    <row r="75" spans="1:6" ht="15.6" x14ac:dyDescent="0.3">
      <c r="A75" s="10">
        <v>1975</v>
      </c>
      <c r="B75" s="14">
        <f>B74+214</f>
        <v>27395</v>
      </c>
      <c r="C75" s="16">
        <v>113.9</v>
      </c>
      <c r="D75" s="16">
        <v>224</v>
      </c>
      <c r="E75" s="16">
        <v>11.4</v>
      </c>
      <c r="F75" s="16">
        <v>0.42</v>
      </c>
    </row>
    <row r="76" spans="1:6" ht="15.6" x14ac:dyDescent="0.3">
      <c r="A76" s="10">
        <v>1975.5</v>
      </c>
      <c r="B76" s="14">
        <f>B75+151</f>
        <v>27546</v>
      </c>
      <c r="C76" s="16">
        <v>121.4</v>
      </c>
      <c r="D76" s="16">
        <v>234.3</v>
      </c>
      <c r="E76" s="16">
        <v>12.3</v>
      </c>
      <c r="F76" s="16">
        <v>0.45</v>
      </c>
    </row>
    <row r="77" spans="1:6" ht="15.6" x14ac:dyDescent="0.3">
      <c r="A77" s="10">
        <v>1976</v>
      </c>
      <c r="B77" s="14">
        <f>B76+214</f>
        <v>27760</v>
      </c>
      <c r="C77" s="16">
        <v>128.19999999999999</v>
      </c>
      <c r="D77" s="16">
        <v>244.2</v>
      </c>
      <c r="E77" s="16">
        <v>13.1</v>
      </c>
      <c r="F77" s="16">
        <v>0.48</v>
      </c>
    </row>
    <row r="78" spans="1:6" ht="15.6" x14ac:dyDescent="0.3">
      <c r="A78" s="10">
        <v>1976.5</v>
      </c>
      <c r="B78" s="14">
        <f>B77+152</f>
        <v>27912</v>
      </c>
      <c r="C78" s="16">
        <v>134.4</v>
      </c>
      <c r="D78" s="16">
        <v>254</v>
      </c>
      <c r="E78" s="16">
        <v>14.1</v>
      </c>
      <c r="F78" s="16">
        <v>0.52</v>
      </c>
    </row>
    <row r="79" spans="1:6" ht="15.6" x14ac:dyDescent="0.3">
      <c r="A79" s="10">
        <v>1977</v>
      </c>
      <c r="B79" s="14">
        <f>B78+214</f>
        <v>28126</v>
      </c>
      <c r="C79" s="16">
        <v>141.30000000000001</v>
      </c>
      <c r="D79" s="16">
        <v>263.3</v>
      </c>
      <c r="E79" s="16">
        <v>15</v>
      </c>
      <c r="F79" s="16">
        <v>0.55000000000000004</v>
      </c>
    </row>
    <row r="80" spans="1:6" ht="15.6" x14ac:dyDescent="0.3">
      <c r="A80" s="10">
        <v>1977.5</v>
      </c>
      <c r="B80" s="14">
        <f>B79+151</f>
        <v>28277</v>
      </c>
      <c r="C80" s="16">
        <v>145.72399999999999</v>
      </c>
      <c r="D80" s="16">
        <v>272.5</v>
      </c>
      <c r="E80" s="16">
        <v>16.2</v>
      </c>
      <c r="F80" s="16">
        <v>0.59</v>
      </c>
    </row>
    <row r="81" spans="1:6" ht="15.6" x14ac:dyDescent="0.3">
      <c r="A81" s="10">
        <v>1978</v>
      </c>
      <c r="B81" s="14">
        <f>B80+214</f>
        <v>28491</v>
      </c>
      <c r="C81" s="16">
        <v>149.82900000000001</v>
      </c>
      <c r="D81" s="16">
        <v>275.37099999999998</v>
      </c>
      <c r="E81" s="16">
        <v>17.3</v>
      </c>
      <c r="F81" s="16">
        <v>0.63</v>
      </c>
    </row>
    <row r="82" spans="1:6" ht="15.6" x14ac:dyDescent="0.3">
      <c r="A82" s="10">
        <v>1978.5</v>
      </c>
      <c r="B82" s="14">
        <f>B81+151</f>
        <v>28642</v>
      </c>
      <c r="C82" s="16">
        <v>154.16399999999999</v>
      </c>
      <c r="D82" s="16">
        <v>284.625</v>
      </c>
      <c r="E82" s="16">
        <v>18.5</v>
      </c>
      <c r="F82" s="16">
        <v>0.68</v>
      </c>
    </row>
    <row r="83" spans="1:6" ht="15.6" x14ac:dyDescent="0.3">
      <c r="A83" s="10">
        <v>1979</v>
      </c>
      <c r="B83" s="14">
        <f>B82+214</f>
        <v>28856</v>
      </c>
      <c r="C83" s="16">
        <v>159.19999999999999</v>
      </c>
      <c r="D83" s="16">
        <v>289.13200000000001</v>
      </c>
      <c r="E83" s="16">
        <v>19.8</v>
      </c>
      <c r="F83" s="16">
        <v>0.73</v>
      </c>
    </row>
    <row r="84" spans="1:6" ht="15.6" x14ac:dyDescent="0.3">
      <c r="A84" s="10">
        <v>1979.5</v>
      </c>
      <c r="B84" s="14">
        <f>B83+151</f>
        <v>29007</v>
      </c>
      <c r="C84" s="16">
        <v>161.495</v>
      </c>
      <c r="D84" s="16">
        <v>294.5</v>
      </c>
      <c r="E84" s="16">
        <v>21.2</v>
      </c>
      <c r="F84" s="16">
        <v>0.77</v>
      </c>
    </row>
    <row r="85" spans="1:6" ht="15.6" x14ac:dyDescent="0.3">
      <c r="A85" s="10">
        <v>1980</v>
      </c>
      <c r="B85" s="14">
        <f>B84+214</f>
        <v>29221</v>
      </c>
      <c r="C85" s="16">
        <v>168.982</v>
      </c>
      <c r="D85" s="16">
        <v>309.52100000000002</v>
      </c>
      <c r="E85" s="16">
        <v>22.7</v>
      </c>
      <c r="F85" s="16">
        <v>0.83</v>
      </c>
    </row>
    <row r="86" spans="1:6" ht="15.6" x14ac:dyDescent="0.3">
      <c r="A86" s="10">
        <v>1980.5</v>
      </c>
      <c r="B86" s="14">
        <f>B85+152</f>
        <v>29373</v>
      </c>
      <c r="C86" s="16">
        <v>172.17500000000001</v>
      </c>
      <c r="D86" s="16">
        <v>313.73099999999999</v>
      </c>
      <c r="E86" s="16">
        <v>24.3</v>
      </c>
      <c r="F86" s="16">
        <v>0.88</v>
      </c>
    </row>
    <row r="87" spans="1:6" ht="15.6" x14ac:dyDescent="0.3">
      <c r="A87" s="10">
        <v>1981</v>
      </c>
      <c r="B87" s="14">
        <f>B86+214</f>
        <v>29587</v>
      </c>
      <c r="C87" s="16">
        <v>175.93299999999999</v>
      </c>
      <c r="D87" s="16">
        <v>317.08300000000003</v>
      </c>
      <c r="E87" s="16">
        <v>25.8</v>
      </c>
      <c r="F87" s="16">
        <v>0.94</v>
      </c>
    </row>
    <row r="88" spans="1:6" ht="15.6" x14ac:dyDescent="0.3">
      <c r="A88" s="10">
        <v>1981.5</v>
      </c>
      <c r="B88" s="14">
        <f>B87+151</f>
        <v>29738</v>
      </c>
      <c r="C88" s="16">
        <v>179.655</v>
      </c>
      <c r="D88" s="16">
        <v>329.79500000000002</v>
      </c>
      <c r="E88" s="16">
        <v>27.5</v>
      </c>
      <c r="F88" s="16">
        <v>0.99</v>
      </c>
    </row>
    <row r="89" spans="1:6" ht="15.6" x14ac:dyDescent="0.3">
      <c r="A89" s="10">
        <v>1982</v>
      </c>
      <c r="B89" s="14">
        <f>B88+214</f>
        <v>29952</v>
      </c>
      <c r="C89" s="16">
        <v>184.31899999999999</v>
      </c>
      <c r="D89" s="16">
        <v>337.71699999999998</v>
      </c>
      <c r="E89" s="16">
        <v>29.1</v>
      </c>
      <c r="F89" s="16">
        <v>1.05</v>
      </c>
    </row>
    <row r="90" spans="1:6" ht="15.6" x14ac:dyDescent="0.3">
      <c r="A90" s="10">
        <v>1982.5</v>
      </c>
      <c r="B90" s="14">
        <f>B89+151</f>
        <v>30103</v>
      </c>
      <c r="C90" s="16">
        <v>186.98099999999999</v>
      </c>
      <c r="D90" s="16">
        <v>342.36399999999998</v>
      </c>
      <c r="E90" s="16">
        <v>30.9</v>
      </c>
      <c r="F90" s="16">
        <v>1.1200000000000001</v>
      </c>
    </row>
    <row r="91" spans="1:6" ht="15.6" x14ac:dyDescent="0.3">
      <c r="A91" s="10">
        <v>1983</v>
      </c>
      <c r="B91" s="14">
        <f>B90+214</f>
        <v>30317</v>
      </c>
      <c r="C91" s="16">
        <v>192.94</v>
      </c>
      <c r="D91" s="16">
        <v>352.01600000000002</v>
      </c>
      <c r="E91" s="16">
        <v>32.700000000000003</v>
      </c>
      <c r="F91" s="16">
        <v>1.18</v>
      </c>
    </row>
    <row r="92" spans="1:6" ht="15.6" x14ac:dyDescent="0.3">
      <c r="A92" s="10">
        <v>1983.5</v>
      </c>
      <c r="B92" s="14">
        <f>B91+151</f>
        <v>30468</v>
      </c>
      <c r="C92" s="16">
        <v>197.64599999999999</v>
      </c>
      <c r="D92" s="16">
        <v>359.505</v>
      </c>
      <c r="E92" s="16">
        <v>34.9</v>
      </c>
      <c r="F92" s="16">
        <v>1.25</v>
      </c>
    </row>
    <row r="93" spans="1:6" ht="15.6" x14ac:dyDescent="0.3">
      <c r="A93" s="10">
        <v>1984</v>
      </c>
      <c r="B93" s="14">
        <f>B92+214</f>
        <v>30682</v>
      </c>
      <c r="C93" s="16">
        <v>201.90700000000001</v>
      </c>
      <c r="D93" s="16">
        <v>370.221</v>
      </c>
      <c r="E93" s="16">
        <v>37.200000000000003</v>
      </c>
      <c r="F93" s="16">
        <v>1.32</v>
      </c>
    </row>
    <row r="94" spans="1:6" ht="15.6" x14ac:dyDescent="0.3">
      <c r="A94" s="10">
        <v>1984.5</v>
      </c>
      <c r="B94" s="14">
        <f>B93+152</f>
        <v>30834</v>
      </c>
      <c r="C94" s="16">
        <v>204.726</v>
      </c>
      <c r="D94" s="16">
        <v>375.55599999999998</v>
      </c>
      <c r="E94" s="16">
        <v>39.9</v>
      </c>
      <c r="F94" s="16">
        <v>1.39</v>
      </c>
    </row>
    <row r="95" spans="1:6" ht="15.6" x14ac:dyDescent="0.3">
      <c r="A95" s="10">
        <v>1985</v>
      </c>
      <c r="B95" s="14">
        <f>B94+214</f>
        <v>31048</v>
      </c>
      <c r="C95" s="16">
        <v>212.90899999999999</v>
      </c>
      <c r="D95" s="16">
        <v>384.71199999999999</v>
      </c>
      <c r="E95" s="16">
        <v>42.5</v>
      </c>
      <c r="F95" s="16">
        <v>1.47</v>
      </c>
    </row>
    <row r="96" spans="1:6" ht="15.6" x14ac:dyDescent="0.3">
      <c r="A96" s="10">
        <v>1985.5</v>
      </c>
      <c r="B96" s="14">
        <f>B95+151</f>
        <v>31199</v>
      </c>
      <c r="C96" s="16">
        <v>216.93</v>
      </c>
      <c r="D96" s="16">
        <v>388.18700000000001</v>
      </c>
      <c r="E96" s="16">
        <v>45.4</v>
      </c>
      <c r="F96" s="16">
        <v>1.54</v>
      </c>
    </row>
    <row r="97" spans="1:6" ht="15.6" x14ac:dyDescent="0.3">
      <c r="A97" s="10">
        <v>1986</v>
      </c>
      <c r="B97" s="14">
        <f>B96+214</f>
        <v>31413</v>
      </c>
      <c r="C97" s="16">
        <v>223.82599999999999</v>
      </c>
      <c r="D97" s="16">
        <v>403.58499999999998</v>
      </c>
      <c r="E97" s="16">
        <v>48.2</v>
      </c>
      <c r="F97" s="16">
        <v>1.62</v>
      </c>
    </row>
    <row r="98" spans="1:6" ht="15.6" x14ac:dyDescent="0.3">
      <c r="A98" s="10">
        <v>1986.5</v>
      </c>
      <c r="B98" s="14">
        <f>B97+151</f>
        <v>31564</v>
      </c>
      <c r="C98" s="16">
        <v>227.989</v>
      </c>
      <c r="D98" s="16">
        <v>408.161</v>
      </c>
      <c r="E98" s="16">
        <v>51.3</v>
      </c>
      <c r="F98" s="16">
        <v>1.7</v>
      </c>
    </row>
    <row r="99" spans="1:6" ht="15.6" x14ac:dyDescent="0.3">
      <c r="A99" s="10">
        <v>1987</v>
      </c>
      <c r="B99" s="14">
        <f>B98+214</f>
        <v>31778</v>
      </c>
      <c r="C99" s="16">
        <v>235.297</v>
      </c>
      <c r="D99" s="16">
        <v>421.19400000000002</v>
      </c>
      <c r="E99" s="16">
        <v>54.5</v>
      </c>
      <c r="F99" s="16">
        <v>1.79</v>
      </c>
    </row>
    <row r="100" spans="1:6" ht="15.6" x14ac:dyDescent="0.3">
      <c r="A100" s="10">
        <v>1987.5</v>
      </c>
      <c r="B100" s="14">
        <f>B99+151</f>
        <v>31929</v>
      </c>
      <c r="C100" s="16">
        <v>240.012</v>
      </c>
      <c r="D100" s="16">
        <v>427.56700000000001</v>
      </c>
      <c r="E100" s="16">
        <v>58</v>
      </c>
      <c r="F100" s="16">
        <v>1.87</v>
      </c>
    </row>
    <row r="101" spans="1:6" ht="15.6" x14ac:dyDescent="0.3">
      <c r="A101" s="10">
        <v>1988</v>
      </c>
      <c r="B101" s="14">
        <f>B100+214</f>
        <v>32143</v>
      </c>
      <c r="C101" s="16">
        <v>248.37</v>
      </c>
      <c r="D101" s="16">
        <v>446.596</v>
      </c>
      <c r="E101" s="16">
        <v>61.5</v>
      </c>
      <c r="F101" s="16">
        <v>1.96</v>
      </c>
    </row>
    <row r="102" spans="1:6" ht="15.6" x14ac:dyDescent="0.3">
      <c r="A102" s="10">
        <v>1988.5</v>
      </c>
      <c r="B102" s="14">
        <f>B101+152</f>
        <v>32295</v>
      </c>
      <c r="C102" s="16">
        <v>253.965</v>
      </c>
      <c r="D102" s="16">
        <v>456.565</v>
      </c>
      <c r="E102" s="16">
        <v>65.099999999999994</v>
      </c>
      <c r="F102" s="16">
        <v>2.0499999999999998</v>
      </c>
    </row>
    <row r="103" spans="1:6" ht="15.6" x14ac:dyDescent="0.3">
      <c r="A103" s="10">
        <v>1989</v>
      </c>
      <c r="B103" s="14">
        <f>B102+214</f>
        <v>32509</v>
      </c>
      <c r="C103" s="16">
        <v>259.01499999999999</v>
      </c>
      <c r="D103" s="16">
        <v>468.25700000000001</v>
      </c>
      <c r="E103" s="16">
        <v>68.8</v>
      </c>
      <c r="F103" s="16">
        <v>2.15</v>
      </c>
    </row>
    <row r="104" spans="1:6" ht="15.6" x14ac:dyDescent="0.3">
      <c r="A104" s="10">
        <v>1989.5</v>
      </c>
      <c r="B104" s="14">
        <f>B103+151</f>
        <v>32660</v>
      </c>
      <c r="C104" s="16">
        <v>262.21600000000001</v>
      </c>
      <c r="D104" s="16">
        <v>474.38799999999998</v>
      </c>
      <c r="E104" s="16">
        <v>71.8</v>
      </c>
      <c r="F104" s="16">
        <v>2.2400000000000002</v>
      </c>
    </row>
    <row r="105" spans="1:6" ht="15.6" x14ac:dyDescent="0.3">
      <c r="A105" s="10">
        <v>1990</v>
      </c>
      <c r="B105" s="14">
        <f>B104+214</f>
        <v>32874</v>
      </c>
      <c r="C105" s="16">
        <v>267.654</v>
      </c>
      <c r="D105" s="16">
        <v>487.69900000000001</v>
      </c>
      <c r="E105" s="16">
        <v>74.8</v>
      </c>
      <c r="F105" s="16">
        <v>2.34</v>
      </c>
    </row>
    <row r="106" spans="1:6" ht="15.6" x14ac:dyDescent="0.3">
      <c r="A106" s="10">
        <v>1990.5</v>
      </c>
      <c r="B106" s="14">
        <f>B105+151</f>
        <v>33025</v>
      </c>
      <c r="C106" s="17">
        <v>266.86900000000003</v>
      </c>
      <c r="D106" s="17">
        <v>489.95</v>
      </c>
      <c r="E106" s="17">
        <v>77</v>
      </c>
      <c r="F106" s="17">
        <v>2.44</v>
      </c>
    </row>
    <row r="107" spans="1:6" ht="15.6" x14ac:dyDescent="0.3">
      <c r="A107" s="10">
        <v>1991</v>
      </c>
      <c r="B107" s="14">
        <f>B106+214</f>
        <v>33239</v>
      </c>
      <c r="C107" s="17">
        <v>269.78199999999998</v>
      </c>
      <c r="D107" s="17">
        <v>496.01100000000002</v>
      </c>
      <c r="E107" s="17">
        <v>79.099999999999994</v>
      </c>
      <c r="F107" s="17">
        <v>2.54</v>
      </c>
    </row>
    <row r="108" spans="1:6" ht="15.6" x14ac:dyDescent="0.3">
      <c r="A108" s="10">
        <v>1991.5</v>
      </c>
      <c r="B108" s="14">
        <f>B107+151</f>
        <v>33390</v>
      </c>
      <c r="C108" s="17">
        <v>269.99200000000002</v>
      </c>
      <c r="D108" s="17">
        <v>500.52100000000002</v>
      </c>
      <c r="E108" s="17">
        <v>80.599999999999994</v>
      </c>
      <c r="F108" s="17">
        <v>2.65</v>
      </c>
    </row>
    <row r="109" spans="1:6" ht="15.6" x14ac:dyDescent="0.3">
      <c r="A109" s="10">
        <v>1992</v>
      </c>
      <c r="B109" s="14">
        <f>B108+214</f>
        <v>33604</v>
      </c>
      <c r="C109" s="17">
        <v>272.541</v>
      </c>
      <c r="D109" s="17">
        <v>507.774</v>
      </c>
      <c r="E109" s="17">
        <v>81.900000000000006</v>
      </c>
      <c r="F109" s="17">
        <v>2.77</v>
      </c>
    </row>
    <row r="110" spans="1:6" ht="15.6" x14ac:dyDescent="0.3">
      <c r="A110" s="10">
        <v>1992.5</v>
      </c>
      <c r="B110" s="14">
        <f>B109+152</f>
        <v>33756</v>
      </c>
      <c r="C110" s="17">
        <v>273.34500000000003</v>
      </c>
      <c r="D110" s="17">
        <v>512.70000000000005</v>
      </c>
      <c r="E110" s="17">
        <v>83.108999999999995</v>
      </c>
      <c r="F110" s="17">
        <v>2.88</v>
      </c>
    </row>
    <row r="111" spans="1:6" ht="15.6" x14ac:dyDescent="0.3">
      <c r="A111" s="10">
        <v>1993</v>
      </c>
      <c r="B111" s="14">
        <f>B110+214</f>
        <v>33970</v>
      </c>
      <c r="C111" s="18">
        <v>275.14999999999998</v>
      </c>
      <c r="D111" s="17">
        <v>515.24300000000005</v>
      </c>
      <c r="E111" s="17">
        <v>83.227999999999994</v>
      </c>
      <c r="F111" s="17">
        <v>2.99</v>
      </c>
    </row>
    <row r="112" spans="1:6" ht="15.6" x14ac:dyDescent="0.3">
      <c r="A112" s="10">
        <v>1993.5</v>
      </c>
      <c r="B112" s="14">
        <f>B111+151</f>
        <v>34121</v>
      </c>
      <c r="C112" s="18">
        <v>274.137</v>
      </c>
      <c r="D112" s="17">
        <v>517.77099999999996</v>
      </c>
      <c r="E112" s="17">
        <v>83.480999999999995</v>
      </c>
      <c r="F112" s="17">
        <v>3.1</v>
      </c>
    </row>
    <row r="113" spans="1:6" ht="15.6" x14ac:dyDescent="0.3">
      <c r="A113" s="10">
        <v>1994</v>
      </c>
      <c r="B113" s="14">
        <f>B112+214</f>
        <v>34335</v>
      </c>
      <c r="C113" s="18">
        <v>274.33499999999998</v>
      </c>
      <c r="D113" s="17">
        <v>520</v>
      </c>
      <c r="E113" s="17">
        <v>84.025999999999996</v>
      </c>
      <c r="F113" s="17">
        <v>3.22</v>
      </c>
    </row>
    <row r="114" spans="1:6" ht="15.6" x14ac:dyDescent="0.3">
      <c r="A114" s="10">
        <v>1994.5</v>
      </c>
      <c r="B114" s="14">
        <f>B113+151</f>
        <v>34486</v>
      </c>
      <c r="C114" s="17">
        <v>273.21199999999999</v>
      </c>
      <c r="D114" s="17">
        <v>520.95399999999995</v>
      </c>
      <c r="E114" s="18">
        <v>84.537999999999997</v>
      </c>
      <c r="F114" s="17">
        <v>3.33</v>
      </c>
    </row>
    <row r="115" spans="1:6" ht="15.6" x14ac:dyDescent="0.3">
      <c r="A115" s="10">
        <v>1995</v>
      </c>
      <c r="B115" s="14">
        <f>B114+214</f>
        <v>34700</v>
      </c>
      <c r="C115" s="17">
        <v>273.09800000000001</v>
      </c>
      <c r="D115" s="17">
        <v>525.83399999999995</v>
      </c>
      <c r="E115" s="18">
        <v>84.554000000000002</v>
      </c>
      <c r="F115" s="17">
        <v>3.411</v>
      </c>
    </row>
    <row r="116" spans="1:6" ht="15.6" x14ac:dyDescent="0.3">
      <c r="A116" s="10">
        <v>1995.5</v>
      </c>
      <c r="B116" s="14">
        <f>B115+151</f>
        <v>34851</v>
      </c>
      <c r="C116" s="17">
        <v>272.322</v>
      </c>
      <c r="D116" s="17">
        <v>527.36099999999999</v>
      </c>
      <c r="E116" s="18">
        <v>84.542000000000002</v>
      </c>
      <c r="F116" s="17">
        <v>3.552</v>
      </c>
    </row>
    <row r="117" spans="1:6" ht="15.6" x14ac:dyDescent="0.3">
      <c r="A117" s="10">
        <v>1996</v>
      </c>
      <c r="B117" s="14">
        <f>B116+214</f>
        <v>35065</v>
      </c>
      <c r="C117" s="17">
        <v>271.83</v>
      </c>
      <c r="D117" s="17">
        <v>532.33000000000004</v>
      </c>
      <c r="E117" s="18">
        <v>84.543000000000006</v>
      </c>
      <c r="F117" s="17">
        <v>3.73</v>
      </c>
    </row>
    <row r="118" spans="1:6" ht="15.6" x14ac:dyDescent="0.3">
      <c r="A118" s="10">
        <v>1996.5</v>
      </c>
      <c r="B118" s="14">
        <f>B117+152</f>
        <v>35217</v>
      </c>
      <c r="C118" s="17">
        <v>270.83499999999998</v>
      </c>
      <c r="D118" s="17">
        <v>532.23400000000004</v>
      </c>
      <c r="E118" s="18">
        <v>84.512</v>
      </c>
      <c r="F118" s="17">
        <v>3.8479999999999999</v>
      </c>
    </row>
    <row r="119" spans="1:6" ht="15.6" x14ac:dyDescent="0.3">
      <c r="A119" s="10">
        <v>1997</v>
      </c>
      <c r="B119" s="14">
        <f>B118+214</f>
        <v>35431</v>
      </c>
      <c r="C119" s="17">
        <v>270.37799999999999</v>
      </c>
      <c r="D119" s="17">
        <v>535.54999999999995</v>
      </c>
      <c r="E119" s="17">
        <v>84.293999999999997</v>
      </c>
      <c r="F119" s="17">
        <v>3.9670000000000001</v>
      </c>
    </row>
    <row r="120" spans="1:6" ht="15.6" x14ac:dyDescent="0.3">
      <c r="A120" s="10">
        <v>1997.5</v>
      </c>
      <c r="B120" s="14">
        <f>B119+151</f>
        <v>35582</v>
      </c>
      <c r="C120" s="17">
        <v>269.36599999999999</v>
      </c>
      <c r="D120" s="17">
        <v>535.36199999999997</v>
      </c>
      <c r="E120" s="17">
        <v>84.039000000000001</v>
      </c>
      <c r="F120" s="17">
        <v>4.0519999999999996</v>
      </c>
    </row>
    <row r="121" spans="1:6" ht="15.6" x14ac:dyDescent="0.3">
      <c r="A121" s="10">
        <v>1998</v>
      </c>
      <c r="B121" s="14">
        <f>B120+214</f>
        <v>35796</v>
      </c>
      <c r="C121" s="17">
        <v>269.01799999999997</v>
      </c>
      <c r="D121" s="17">
        <v>538.81600000000003</v>
      </c>
      <c r="E121" s="17">
        <v>83.900999999999996</v>
      </c>
      <c r="F121" s="17">
        <v>4.1859999999999999</v>
      </c>
    </row>
    <row r="122" spans="1:6" ht="15.6" x14ac:dyDescent="0.3">
      <c r="A122" s="10">
        <v>1998.5</v>
      </c>
      <c r="B122" s="14">
        <f>B121+151</f>
        <v>35947</v>
      </c>
      <c r="C122" s="17">
        <v>267.21899999999999</v>
      </c>
      <c r="D122" s="17">
        <v>539.48099999999999</v>
      </c>
      <c r="E122" s="17">
        <v>83.388999999999996</v>
      </c>
      <c r="F122" s="17">
        <v>4.29</v>
      </c>
    </row>
    <row r="123" spans="1:6" ht="15.6" x14ac:dyDescent="0.3">
      <c r="A123" s="10">
        <v>1999</v>
      </c>
      <c r="B123" s="14">
        <f>B122+214</f>
        <v>36161</v>
      </c>
      <c r="C123" s="17">
        <v>267.40600000000001</v>
      </c>
      <c r="D123" s="17">
        <v>541.44399999999996</v>
      </c>
      <c r="E123" s="17">
        <v>83.15</v>
      </c>
      <c r="F123" s="17">
        <v>4.4480000000000004</v>
      </c>
    </row>
    <row r="124" spans="1:6" ht="15.6" x14ac:dyDescent="0.3">
      <c r="A124" s="10">
        <v>1999.5</v>
      </c>
      <c r="B124" s="14">
        <f>B123+151</f>
        <v>36312</v>
      </c>
      <c r="C124" s="17">
        <v>265.72199999999998</v>
      </c>
      <c r="D124" s="17">
        <v>541.60900000000004</v>
      </c>
      <c r="E124" s="17">
        <v>82.754000000000005</v>
      </c>
      <c r="F124" s="17">
        <v>4.5030000000000001</v>
      </c>
    </row>
    <row r="125" spans="1:6" ht="15.6" x14ac:dyDescent="0.3">
      <c r="A125" s="10">
        <v>2000</v>
      </c>
      <c r="B125" s="14">
        <f>B124+214</f>
        <v>36526</v>
      </c>
      <c r="C125" s="17">
        <v>265.53300000000002</v>
      </c>
      <c r="D125" s="17">
        <v>543.58199999999999</v>
      </c>
      <c r="E125" s="17">
        <v>82.650999999999996</v>
      </c>
      <c r="F125" s="17">
        <v>4.6289999999999996</v>
      </c>
    </row>
    <row r="126" spans="1:6" ht="15.6" x14ac:dyDescent="0.3">
      <c r="A126" s="10">
        <v>2000.5</v>
      </c>
      <c r="B126" s="14">
        <f>B125+152</f>
        <v>36678</v>
      </c>
      <c r="C126" s="17">
        <v>264.08600000000001</v>
      </c>
      <c r="D126" s="17">
        <v>544.48599999999999</v>
      </c>
      <c r="E126" s="17">
        <v>82.32</v>
      </c>
      <c r="F126" s="17">
        <v>4.702</v>
      </c>
    </row>
    <row r="127" spans="1:6" ht="15.6" x14ac:dyDescent="0.3">
      <c r="A127" s="10">
        <v>2001</v>
      </c>
      <c r="B127" s="14">
        <f>B126+214</f>
        <v>36892</v>
      </c>
      <c r="C127" s="17">
        <v>263.71300000000002</v>
      </c>
      <c r="D127" s="17">
        <v>545.00699999999995</v>
      </c>
      <c r="E127" s="17">
        <v>82.057000000000002</v>
      </c>
      <c r="F127" s="17">
        <v>4.819</v>
      </c>
    </row>
    <row r="128" spans="1:6" ht="15.6" x14ac:dyDescent="0.3">
      <c r="A128" s="10">
        <v>2001.5</v>
      </c>
      <c r="B128" s="14">
        <f>B127+151</f>
        <v>37043</v>
      </c>
      <c r="C128" s="17">
        <v>262.13400000000001</v>
      </c>
      <c r="D128" s="17">
        <v>544.66899999999998</v>
      </c>
      <c r="E128" s="17">
        <v>81.692999999999998</v>
      </c>
      <c r="F128" s="17">
        <v>4.9119999999999999</v>
      </c>
    </row>
    <row r="129" spans="1:6" ht="15.6" x14ac:dyDescent="0.3">
      <c r="A129" s="10">
        <v>2002</v>
      </c>
      <c r="B129" s="14">
        <f>B128+214</f>
        <v>37257</v>
      </c>
      <c r="C129" s="17">
        <v>261.62299999999999</v>
      </c>
      <c r="D129" s="18">
        <v>545.84100000000001</v>
      </c>
      <c r="E129" s="17">
        <v>81.396000000000001</v>
      </c>
      <c r="F129" s="17">
        <v>5.0430000000000001</v>
      </c>
    </row>
    <row r="130" spans="1:6" ht="15.6" x14ac:dyDescent="0.3">
      <c r="A130" s="10">
        <v>2002.5</v>
      </c>
      <c r="B130" s="14">
        <f>B129+151</f>
        <v>37408</v>
      </c>
      <c r="C130" s="17">
        <v>259.88499999999999</v>
      </c>
      <c r="D130" s="17">
        <v>545.19000000000005</v>
      </c>
      <c r="E130" s="17">
        <v>80.977000000000004</v>
      </c>
      <c r="F130" s="17">
        <v>5.1289999999999996</v>
      </c>
    </row>
    <row r="131" spans="1:6" ht="15.6" x14ac:dyDescent="0.3">
      <c r="A131" s="10">
        <v>2003</v>
      </c>
      <c r="B131" s="14">
        <f>B130+214</f>
        <v>37622</v>
      </c>
      <c r="C131" s="17">
        <v>258.96699999999998</v>
      </c>
      <c r="D131" s="17">
        <v>545.49699999999996</v>
      </c>
      <c r="E131" s="17">
        <v>80.742000000000004</v>
      </c>
      <c r="F131" s="17">
        <v>5.2619999999999996</v>
      </c>
    </row>
    <row r="132" spans="1:6" ht="15.6" x14ac:dyDescent="0.3">
      <c r="A132" s="10">
        <v>2003.5</v>
      </c>
      <c r="B132" s="14">
        <f>B131+151</f>
        <v>37773</v>
      </c>
      <c r="C132" s="17">
        <v>257.661</v>
      </c>
      <c r="D132" s="17">
        <v>544.22</v>
      </c>
      <c r="E132" s="17">
        <v>80.153999999999996</v>
      </c>
      <c r="F132" s="17">
        <v>5.3630000000000004</v>
      </c>
    </row>
    <row r="133" spans="1:6" ht="15.6" x14ac:dyDescent="0.3">
      <c r="A133" s="10">
        <v>2004</v>
      </c>
      <c r="B133" s="14">
        <f>B132+214</f>
        <v>37987</v>
      </c>
      <c r="C133" s="17">
        <v>256.536</v>
      </c>
      <c r="D133" s="17">
        <v>544.798</v>
      </c>
      <c r="E133" s="17">
        <v>79.971000000000004</v>
      </c>
      <c r="F133" s="17">
        <v>5.5060000000000002</v>
      </c>
    </row>
    <row r="134" spans="1:6" ht="15.6" x14ac:dyDescent="0.3">
      <c r="A134" s="10">
        <v>2004.5</v>
      </c>
      <c r="B134" s="14">
        <f>B133+152</f>
        <v>38139</v>
      </c>
      <c r="C134" s="17">
        <v>255.09</v>
      </c>
      <c r="D134" s="17">
        <v>544.02700000000004</v>
      </c>
      <c r="E134" s="17">
        <v>79.447999999999993</v>
      </c>
      <c r="F134" s="17">
        <v>5.59</v>
      </c>
    </row>
    <row r="135" spans="1:6" ht="15.6" x14ac:dyDescent="0.3">
      <c r="A135" s="10">
        <v>2005</v>
      </c>
      <c r="B135" s="14">
        <f>B134+214</f>
        <v>38353</v>
      </c>
      <c r="C135" s="17">
        <v>253.893</v>
      </c>
      <c r="D135" s="17">
        <v>543.66300000000001</v>
      </c>
      <c r="E135" s="17">
        <v>79.245999999999995</v>
      </c>
      <c r="F135" s="17">
        <v>5.6890000000000001</v>
      </c>
    </row>
    <row r="136" spans="1:6" ht="15.6" x14ac:dyDescent="0.3">
      <c r="A136" s="10">
        <v>2005.5</v>
      </c>
      <c r="B136" s="14">
        <f>B135+151</f>
        <v>38504</v>
      </c>
      <c r="C136" s="17">
        <v>252.90899999999999</v>
      </c>
      <c r="D136" s="17">
        <v>542.82600000000002</v>
      </c>
      <c r="E136" s="17">
        <v>79.007000000000005</v>
      </c>
      <c r="F136" s="17">
        <v>5.806</v>
      </c>
    </row>
    <row r="137" spans="1:6" ht="15.6" x14ac:dyDescent="0.3">
      <c r="A137" s="10">
        <v>2006</v>
      </c>
      <c r="B137" s="14">
        <f>B136+214</f>
        <v>38718</v>
      </c>
      <c r="C137" s="17">
        <v>251.899</v>
      </c>
      <c r="D137" s="17">
        <v>543.13499999999999</v>
      </c>
      <c r="E137" s="17">
        <v>78.519000000000005</v>
      </c>
      <c r="F137" s="17">
        <v>5.9539999999999997</v>
      </c>
    </row>
    <row r="138" spans="1:6" ht="15.6" x14ac:dyDescent="0.3">
      <c r="A138" s="10">
        <v>2006.5</v>
      </c>
      <c r="B138" s="14">
        <f>B137+151</f>
        <v>38869</v>
      </c>
      <c r="C138" s="17">
        <v>250.65100000000001</v>
      </c>
      <c r="D138" s="17">
        <v>541.50400000000002</v>
      </c>
      <c r="E138" s="17">
        <v>78.218999999999994</v>
      </c>
      <c r="F138" s="17">
        <v>6.0490000000000004</v>
      </c>
    </row>
    <row r="139" spans="1:6" ht="15.6" x14ac:dyDescent="0.3">
      <c r="A139" s="10">
        <v>2007</v>
      </c>
      <c r="B139" s="14">
        <f>B138+214</f>
        <v>39083</v>
      </c>
      <c r="C139" s="17">
        <v>249.488</v>
      </c>
      <c r="D139" s="17">
        <v>540.53700000000003</v>
      </c>
      <c r="E139" s="17">
        <v>77.864000000000004</v>
      </c>
      <c r="F139" s="17">
        <v>6.1970000000000001</v>
      </c>
    </row>
    <row r="140" spans="1:6" ht="15.6" x14ac:dyDescent="0.3">
      <c r="A140" s="10">
        <v>2007.5</v>
      </c>
      <c r="B140" s="14">
        <f>B139+151</f>
        <v>39234</v>
      </c>
      <c r="C140" s="17">
        <v>248.06800000000001</v>
      </c>
      <c r="D140" s="17">
        <v>538.79899999999998</v>
      </c>
      <c r="E140" s="17">
        <v>77.465999999999994</v>
      </c>
      <c r="F140" s="17">
        <v>6.3230000000000004</v>
      </c>
    </row>
    <row r="141" spans="1:6" ht="15.6" x14ac:dyDescent="0.3">
      <c r="A141" s="10">
        <v>2008</v>
      </c>
      <c r="B141" s="14">
        <f>B140+214</f>
        <v>39448</v>
      </c>
      <c r="C141" s="17">
        <v>247.21700000000001</v>
      </c>
      <c r="D141" s="17">
        <v>537.81799999999998</v>
      </c>
      <c r="E141" s="17">
        <v>76.948999999999998</v>
      </c>
      <c r="F141" s="17">
        <v>6.4749999999999996</v>
      </c>
    </row>
    <row r="142" spans="1:6" ht="15.6" x14ac:dyDescent="0.3">
      <c r="A142" s="10">
        <v>2008.5</v>
      </c>
      <c r="B142" s="14">
        <f>B141+152</f>
        <v>39600</v>
      </c>
      <c r="C142" s="17">
        <v>245.803</v>
      </c>
      <c r="D142" s="17">
        <v>536.21600000000001</v>
      </c>
      <c r="E142" s="17">
        <v>76.492999999999995</v>
      </c>
      <c r="F142" s="17">
        <v>6.6020000000000003</v>
      </c>
    </row>
    <row r="143" spans="1:6" ht="15.6" x14ac:dyDescent="0.3">
      <c r="A143" s="10">
        <v>2009</v>
      </c>
      <c r="B143" s="14">
        <f>B142+214</f>
        <v>39814</v>
      </c>
      <c r="C143" s="17">
        <v>245.06800000000001</v>
      </c>
      <c r="D143" s="17">
        <v>535.94000000000005</v>
      </c>
      <c r="E143" s="17">
        <v>76.263999999999996</v>
      </c>
      <c r="F143" s="17">
        <v>6.77</v>
      </c>
    </row>
    <row r="144" spans="1:6" ht="15.6" x14ac:dyDescent="0.3">
      <c r="A144" s="10">
        <v>2009.5</v>
      </c>
      <c r="B144" s="14">
        <f>B143+151</f>
        <v>39965</v>
      </c>
      <c r="C144" s="17">
        <v>243.51900000000001</v>
      </c>
      <c r="D144" s="17">
        <v>533.76499999999999</v>
      </c>
      <c r="E144" s="17">
        <v>75.912999999999997</v>
      </c>
      <c r="F144" s="17">
        <v>6.8650000000000002</v>
      </c>
    </row>
    <row r="145" spans="1:6" ht="15.6" x14ac:dyDescent="0.3">
      <c r="A145" s="10">
        <v>2010</v>
      </c>
      <c r="B145" s="14">
        <f>B144+214</f>
        <v>40179</v>
      </c>
      <c r="C145" s="17">
        <v>243.17099999999999</v>
      </c>
      <c r="D145" s="17">
        <v>532.53800000000001</v>
      </c>
      <c r="E145" s="17">
        <v>75.594999999999999</v>
      </c>
      <c r="F145" s="17">
        <v>7.04</v>
      </c>
    </row>
    <row r="146" spans="1:6" ht="15.6" x14ac:dyDescent="0.3">
      <c r="A146" s="10">
        <v>2010.5</v>
      </c>
      <c r="B146" s="14">
        <f>B145+151</f>
        <v>40330</v>
      </c>
      <c r="C146" s="13">
        <v>241.46899999999999</v>
      </c>
      <c r="D146" s="13">
        <v>530.94899999999996</v>
      </c>
      <c r="E146" s="13">
        <v>75.153000000000006</v>
      </c>
      <c r="F146" s="13">
        <v>7.181</v>
      </c>
    </row>
    <row r="147" spans="1:6" ht="15.6" x14ac:dyDescent="0.3">
      <c r="A147" s="10">
        <v>2011</v>
      </c>
      <c r="B147" s="14">
        <f>B146+214</f>
        <v>40544</v>
      </c>
      <c r="C147" s="13">
        <v>240.87700000000001</v>
      </c>
      <c r="D147" s="13">
        <v>530.02300000000002</v>
      </c>
      <c r="E147" s="13">
        <v>74.953000000000003</v>
      </c>
      <c r="F147" s="13">
        <v>7.32</v>
      </c>
    </row>
    <row r="148" spans="1:6" ht="15.6" x14ac:dyDescent="0.3">
      <c r="A148" s="10">
        <v>2011.5</v>
      </c>
      <c r="B148" s="14">
        <f>B147+151</f>
        <v>40695</v>
      </c>
      <c r="C148" s="13">
        <v>239.53399999999999</v>
      </c>
      <c r="D148" s="13">
        <v>528.36099999999999</v>
      </c>
      <c r="E148" s="13">
        <v>74.453999999999994</v>
      </c>
      <c r="F148" s="13">
        <v>7.45</v>
      </c>
    </row>
    <row r="149" spans="1:6" ht="15.6" x14ac:dyDescent="0.3">
      <c r="A149" s="10">
        <v>2012</v>
      </c>
      <c r="B149" s="14">
        <f>B148+214</f>
        <v>40909</v>
      </c>
      <c r="C149" s="13">
        <v>238.84899999999999</v>
      </c>
      <c r="D149" s="13">
        <v>527.24199999999996</v>
      </c>
      <c r="E149" s="13">
        <v>74.272999999999996</v>
      </c>
      <c r="F149" s="13">
        <v>7.6269999999999998</v>
      </c>
    </row>
    <row r="150" spans="1:6" ht="15.6" x14ac:dyDescent="0.3">
      <c r="A150" s="10">
        <v>2012.5</v>
      </c>
      <c r="B150" s="14">
        <f>B149+152</f>
        <v>41061</v>
      </c>
      <c r="C150" s="13">
        <v>236.83600000000001</v>
      </c>
      <c r="D150" s="13">
        <v>525.06700000000001</v>
      </c>
      <c r="E150" s="13">
        <v>73.775000000000006</v>
      </c>
      <c r="F150" s="13">
        <v>7.7389999999999999</v>
      </c>
    </row>
    <row r="151" spans="1:6" ht="15.6" x14ac:dyDescent="0.3">
      <c r="A151" s="10">
        <v>2013</v>
      </c>
      <c r="B151" s="14">
        <f>B150+214</f>
        <v>41275</v>
      </c>
      <c r="C151" s="13">
        <v>236.21199999999999</v>
      </c>
      <c r="D151" s="13">
        <v>524.22799999999995</v>
      </c>
      <c r="E151" s="13">
        <v>73.691000000000003</v>
      </c>
      <c r="F151" s="13">
        <v>7.9349999999999996</v>
      </c>
    </row>
    <row r="152" spans="1:6" ht="15.6" x14ac:dyDescent="0.3">
      <c r="A152" s="10">
        <v>2013.5</v>
      </c>
      <c r="B152" s="14">
        <f>B151+151</f>
        <v>41426</v>
      </c>
      <c r="C152" s="13">
        <v>235.703</v>
      </c>
      <c r="D152" s="13">
        <v>522.78800000000001</v>
      </c>
      <c r="E152" s="13">
        <v>73.161000000000001</v>
      </c>
      <c r="F152" s="13">
        <v>8.07</v>
      </c>
    </row>
    <row r="153" spans="1:6" ht="15.6" x14ac:dyDescent="0.3">
      <c r="A153" s="10">
        <v>2014</v>
      </c>
      <c r="B153" s="14">
        <f>B152+214</f>
        <v>41640</v>
      </c>
      <c r="C153" s="13">
        <v>235.2</v>
      </c>
      <c r="D153" s="13">
        <v>521.29999999999995</v>
      </c>
      <c r="E153" s="13">
        <v>72.8</v>
      </c>
      <c r="F153" s="13">
        <v>8.25</v>
      </c>
    </row>
    <row r="154" spans="1:6" ht="15.6" x14ac:dyDescent="0.3">
      <c r="A154" s="10">
        <v>2014.5</v>
      </c>
      <c r="B154" s="14">
        <f>B153+151</f>
        <v>41791</v>
      </c>
      <c r="C154" s="13">
        <v>234.8</v>
      </c>
      <c r="D154" s="13">
        <v>520.1</v>
      </c>
      <c r="E154" s="13">
        <v>72.400000000000006</v>
      </c>
      <c r="F154" s="13">
        <v>8.4</v>
      </c>
    </row>
    <row r="155" spans="1:6" ht="15.6" x14ac:dyDescent="0.3">
      <c r="A155" s="10">
        <v>2015</v>
      </c>
      <c r="B155" s="14">
        <f>B154+214</f>
        <v>42005</v>
      </c>
      <c r="C155" s="13">
        <v>234.5</v>
      </c>
      <c r="D155" s="13">
        <v>519.4</v>
      </c>
      <c r="E155" s="13">
        <v>72.3</v>
      </c>
      <c r="F155" s="13">
        <v>8.56</v>
      </c>
    </row>
    <row r="156" spans="1:6" ht="15.6" x14ac:dyDescent="0.3">
      <c r="A156" s="10">
        <v>2015.5</v>
      </c>
      <c r="B156" s="14">
        <f>B155+151</f>
        <v>42156</v>
      </c>
      <c r="C156" s="13">
        <v>232.9</v>
      </c>
      <c r="D156" s="13">
        <v>517.4</v>
      </c>
      <c r="E156" s="13">
        <v>71.900000000000006</v>
      </c>
      <c r="F156" s="13">
        <v>8.9</v>
      </c>
    </row>
    <row r="157" spans="1:6" ht="15.6" x14ac:dyDescent="0.3">
      <c r="A157" s="10">
        <v>2016</v>
      </c>
      <c r="B157" s="14">
        <f>B156+214</f>
        <v>42370</v>
      </c>
      <c r="C157" s="13">
        <v>231.54</v>
      </c>
      <c r="D157" s="13">
        <v>514</v>
      </c>
      <c r="E157" s="13">
        <v>71.7</v>
      </c>
      <c r="F157" s="13">
        <v>9.0299999999999994</v>
      </c>
    </row>
    <row r="158" spans="1:6" ht="15.6" x14ac:dyDescent="0.3">
      <c r="A158" s="10">
        <v>2016.5</v>
      </c>
      <c r="B158" s="14">
        <f>B157+152</f>
        <v>42522</v>
      </c>
      <c r="C158" s="13">
        <v>231.28</v>
      </c>
      <c r="D158" s="13">
        <v>511.44</v>
      </c>
      <c r="E158" s="13">
        <v>71.3</v>
      </c>
      <c r="F158" s="13">
        <v>9.1999999999999993</v>
      </c>
    </row>
    <row r="159" spans="1:6" ht="16.2" thickBot="1" x14ac:dyDescent="0.35">
      <c r="A159" s="11">
        <v>2017</v>
      </c>
      <c r="B159" s="14">
        <f>B158+214</f>
        <v>42736</v>
      </c>
      <c r="C159" s="13">
        <v>230.61</v>
      </c>
      <c r="D159" s="13">
        <v>510</v>
      </c>
      <c r="E159" s="13">
        <v>71.12</v>
      </c>
      <c r="F159" s="13">
        <v>9.3699999999999992</v>
      </c>
    </row>
    <row r="160" spans="1:6" ht="15.6" x14ac:dyDescent="0.3">
      <c r="A160" s="10">
        <v>2017.5</v>
      </c>
      <c r="B160" s="14">
        <f>B159+151</f>
        <v>42887</v>
      </c>
      <c r="C160" s="13">
        <v>230.45</v>
      </c>
      <c r="D160" s="13">
        <v>508.17</v>
      </c>
      <c r="E160" s="13">
        <v>70.77</v>
      </c>
      <c r="F160" s="13">
        <v>9.5299999999999994</v>
      </c>
    </row>
    <row r="161" spans="1:6" ht="16.2" thickBot="1" x14ac:dyDescent="0.35">
      <c r="A161" s="11">
        <v>2018</v>
      </c>
      <c r="B161" s="14">
        <f>B160+214</f>
        <v>43101</v>
      </c>
      <c r="C161" s="13">
        <v>229.85</v>
      </c>
      <c r="D161" s="13">
        <v>507</v>
      </c>
      <c r="E161" s="13">
        <v>70.569999999999993</v>
      </c>
      <c r="F161" s="15">
        <v>9.69</v>
      </c>
    </row>
    <row r="162" spans="1:6" ht="15.6" x14ac:dyDescent="0.3">
      <c r="A162" s="10">
        <v>2018.5</v>
      </c>
      <c r="B162" s="14">
        <f>B161+151</f>
        <v>43252</v>
      </c>
      <c r="C162" s="15">
        <v>229.19</v>
      </c>
      <c r="D162" s="15">
        <v>504.7</v>
      </c>
      <c r="E162" s="15">
        <v>70.11</v>
      </c>
      <c r="F162" s="13">
        <v>9.85</v>
      </c>
    </row>
    <row r="163" spans="1:6" ht="16.2" thickBot="1" x14ac:dyDescent="0.35">
      <c r="A163" s="11">
        <v>2019</v>
      </c>
      <c r="B163" s="14">
        <f>B162+214</f>
        <v>43466</v>
      </c>
      <c r="C163" s="13">
        <v>228.25</v>
      </c>
      <c r="D163" s="13">
        <v>503.19</v>
      </c>
      <c r="E163" s="13">
        <v>69.87</v>
      </c>
      <c r="F163" s="15">
        <v>10.050000000000001</v>
      </c>
    </row>
    <row r="164" spans="1:6" ht="15.6" x14ac:dyDescent="0.3">
      <c r="A164" s="10">
        <v>2019.5</v>
      </c>
      <c r="B164" s="14">
        <f>B163+151</f>
        <v>43617</v>
      </c>
      <c r="C164" s="13">
        <v>226.79</v>
      </c>
      <c r="D164" s="13">
        <v>500.47</v>
      </c>
      <c r="E164" s="13">
        <v>69.41</v>
      </c>
      <c r="F164" s="15">
        <v>10.220000000000001</v>
      </c>
    </row>
    <row r="165" spans="1:6" ht="15.6" x14ac:dyDescent="0.3">
      <c r="A165" s="10">
        <v>2020</v>
      </c>
      <c r="B165" s="14">
        <f>B164+214</f>
        <v>43831</v>
      </c>
      <c r="C165" s="13">
        <v>225.47</v>
      </c>
      <c r="D165" s="13">
        <v>498.73</v>
      </c>
      <c r="E165" s="15">
        <v>69.17</v>
      </c>
      <c r="F165" s="15">
        <v>10.36</v>
      </c>
    </row>
    <row r="166" spans="1:6" ht="16.2" thickBot="1" x14ac:dyDescent="0.35">
      <c r="A166" s="11">
        <v>2020.5</v>
      </c>
      <c r="B166" s="14">
        <f>B165+152</f>
        <v>43983</v>
      </c>
      <c r="C166" s="13">
        <v>224.28</v>
      </c>
      <c r="D166" s="13">
        <v>496.67</v>
      </c>
      <c r="E166" s="13">
        <v>68.87</v>
      </c>
      <c r="F166" s="13">
        <v>10.52</v>
      </c>
    </row>
    <row r="167" spans="1:6" x14ac:dyDescent="0.3">
      <c r="A167"/>
      <c r="B167"/>
      <c r="C167"/>
      <c r="D167"/>
      <c r="E167"/>
      <c r="F167"/>
    </row>
    <row r="168" spans="1:6" x14ac:dyDescent="0.3">
      <c r="A168"/>
      <c r="B168"/>
      <c r="C168"/>
      <c r="D168"/>
      <c r="E168"/>
      <c r="F168"/>
    </row>
    <row r="169" spans="1:6" x14ac:dyDescent="0.3">
      <c r="A169"/>
      <c r="B169"/>
      <c r="C169"/>
      <c r="D169"/>
      <c r="E169"/>
      <c r="F169"/>
    </row>
    <row r="170" spans="1:6" x14ac:dyDescent="0.3">
      <c r="A170"/>
      <c r="B170"/>
      <c r="C170"/>
      <c r="D170"/>
      <c r="E170"/>
      <c r="F170"/>
    </row>
    <row r="171" spans="1:6" x14ac:dyDescent="0.3">
      <c r="A171"/>
      <c r="B171"/>
      <c r="C171"/>
      <c r="D171"/>
      <c r="E171"/>
      <c r="F171"/>
    </row>
    <row r="172" spans="1:6" x14ac:dyDescent="0.3">
      <c r="A172"/>
      <c r="B172"/>
      <c r="C172"/>
      <c r="D172"/>
      <c r="E172"/>
      <c r="F172"/>
    </row>
    <row r="173" spans="1:6" x14ac:dyDescent="0.3">
      <c r="A173"/>
      <c r="B173"/>
      <c r="C173"/>
      <c r="D173"/>
      <c r="E173"/>
      <c r="F173"/>
    </row>
    <row r="174" spans="1:6" x14ac:dyDescent="0.3">
      <c r="A174"/>
      <c r="B174"/>
      <c r="C174"/>
      <c r="D174"/>
      <c r="E174"/>
      <c r="F174"/>
    </row>
    <row r="175" spans="1:6" x14ac:dyDescent="0.3">
      <c r="A175"/>
      <c r="B175"/>
      <c r="C175"/>
      <c r="D175"/>
      <c r="E175"/>
      <c r="F175"/>
    </row>
    <row r="176" spans="1:6" x14ac:dyDescent="0.3">
      <c r="A176"/>
      <c r="B176"/>
      <c r="C176"/>
      <c r="D176"/>
      <c r="E176"/>
      <c r="F176"/>
    </row>
    <row r="177" spans="1:6" x14ac:dyDescent="0.3">
      <c r="A177"/>
      <c r="B177"/>
      <c r="C177"/>
      <c r="D177"/>
      <c r="E177"/>
      <c r="F177"/>
    </row>
    <row r="178" spans="1:6" x14ac:dyDescent="0.3">
      <c r="A178"/>
      <c r="B178"/>
      <c r="C178"/>
      <c r="D178"/>
      <c r="E178"/>
      <c r="F178"/>
    </row>
    <row r="179" spans="1:6" x14ac:dyDescent="0.3">
      <c r="A179"/>
      <c r="B179"/>
      <c r="C179"/>
      <c r="D179"/>
      <c r="E179"/>
      <c r="F179"/>
    </row>
    <row r="180" spans="1:6" x14ac:dyDescent="0.3">
      <c r="A180"/>
      <c r="B180"/>
      <c r="C180"/>
      <c r="D180"/>
      <c r="E180"/>
      <c r="F180"/>
    </row>
    <row r="181" spans="1:6" x14ac:dyDescent="0.3">
      <c r="A181"/>
      <c r="B181"/>
      <c r="C181"/>
      <c r="D181"/>
      <c r="E181"/>
      <c r="F181"/>
    </row>
    <row r="182" spans="1:6" x14ac:dyDescent="0.3">
      <c r="A182"/>
      <c r="B182"/>
      <c r="C182"/>
      <c r="D182"/>
      <c r="E182"/>
      <c r="F182"/>
    </row>
    <row r="183" spans="1:6" x14ac:dyDescent="0.3">
      <c r="A183"/>
      <c r="B183"/>
      <c r="C183"/>
      <c r="D183"/>
      <c r="E183"/>
      <c r="F183"/>
    </row>
    <row r="184" spans="1:6" x14ac:dyDescent="0.3">
      <c r="A184"/>
      <c r="B184"/>
      <c r="C184"/>
      <c r="D184"/>
      <c r="E184"/>
      <c r="F184"/>
    </row>
    <row r="185" spans="1:6" x14ac:dyDescent="0.3">
      <c r="A185"/>
      <c r="B185"/>
      <c r="C185"/>
      <c r="D185"/>
      <c r="E185"/>
      <c r="F185"/>
    </row>
    <row r="186" spans="1:6" x14ac:dyDescent="0.3">
      <c r="A186"/>
      <c r="B186"/>
      <c r="C186"/>
      <c r="D186"/>
      <c r="E186"/>
      <c r="F186"/>
    </row>
    <row r="187" spans="1:6" x14ac:dyDescent="0.3">
      <c r="A187"/>
      <c r="B187"/>
      <c r="C187"/>
      <c r="D187"/>
      <c r="E187"/>
      <c r="F187"/>
    </row>
    <row r="188" spans="1:6" x14ac:dyDescent="0.3">
      <c r="A188"/>
      <c r="B188"/>
      <c r="C188"/>
      <c r="D188"/>
      <c r="E188"/>
      <c r="F188"/>
    </row>
    <row r="189" spans="1:6" x14ac:dyDescent="0.3">
      <c r="A189"/>
      <c r="B189"/>
      <c r="C189"/>
      <c r="D189"/>
      <c r="E189"/>
      <c r="F189"/>
    </row>
    <row r="190" spans="1:6" x14ac:dyDescent="0.3">
      <c r="A190"/>
      <c r="B190"/>
      <c r="C190"/>
      <c r="D190"/>
      <c r="E190"/>
      <c r="F190"/>
    </row>
    <row r="191" spans="1:6" x14ac:dyDescent="0.3">
      <c r="A191"/>
      <c r="B191"/>
      <c r="C191"/>
      <c r="D191"/>
      <c r="E191"/>
      <c r="F191"/>
    </row>
    <row r="192" spans="1:6" x14ac:dyDescent="0.3">
      <c r="A192"/>
      <c r="B192"/>
      <c r="C192"/>
      <c r="D192"/>
      <c r="E192"/>
      <c r="F192"/>
    </row>
    <row r="193" spans="1:6" x14ac:dyDescent="0.3">
      <c r="A193"/>
      <c r="B193"/>
      <c r="C193"/>
      <c r="D193"/>
      <c r="E193"/>
      <c r="F193"/>
    </row>
    <row r="194" spans="1:6" x14ac:dyDescent="0.3">
      <c r="A194"/>
      <c r="B194"/>
      <c r="C194"/>
      <c r="D194"/>
      <c r="E194"/>
      <c r="F194"/>
    </row>
    <row r="195" spans="1:6" x14ac:dyDescent="0.3">
      <c r="A195"/>
      <c r="B195"/>
      <c r="C195"/>
      <c r="D195"/>
      <c r="E195"/>
      <c r="F195"/>
    </row>
    <row r="196" spans="1:6" x14ac:dyDescent="0.3">
      <c r="A196"/>
      <c r="B196"/>
      <c r="C196"/>
      <c r="D196"/>
      <c r="E196"/>
      <c r="F196"/>
    </row>
    <row r="197" spans="1:6" x14ac:dyDescent="0.3">
      <c r="A197"/>
      <c r="B197"/>
      <c r="C197"/>
      <c r="D197"/>
      <c r="E197"/>
      <c r="F197"/>
    </row>
    <row r="198" spans="1:6" x14ac:dyDescent="0.3">
      <c r="A198"/>
      <c r="B198"/>
      <c r="C198"/>
      <c r="D198"/>
      <c r="E198"/>
      <c r="F198"/>
    </row>
    <row r="199" spans="1:6" x14ac:dyDescent="0.3">
      <c r="A199"/>
      <c r="B199"/>
      <c r="C199"/>
      <c r="D199"/>
      <c r="E199"/>
      <c r="F199"/>
    </row>
    <row r="200" spans="1:6" x14ac:dyDescent="0.3">
      <c r="A200"/>
      <c r="B200"/>
      <c r="C200"/>
      <c r="D200"/>
      <c r="E200"/>
      <c r="F200"/>
    </row>
    <row r="201" spans="1:6" x14ac:dyDescent="0.3">
      <c r="A201"/>
      <c r="B201"/>
      <c r="C201"/>
      <c r="D201"/>
      <c r="E201"/>
      <c r="F201"/>
    </row>
    <row r="202" spans="1:6" x14ac:dyDescent="0.3">
      <c r="A202"/>
      <c r="B202"/>
      <c r="C202"/>
      <c r="D202"/>
      <c r="E202"/>
      <c r="F202"/>
    </row>
    <row r="203" spans="1:6" x14ac:dyDescent="0.3">
      <c r="A203"/>
      <c r="B203"/>
      <c r="C203"/>
      <c r="D203"/>
      <c r="E203"/>
      <c r="F203"/>
    </row>
    <row r="204" spans="1:6" x14ac:dyDescent="0.3">
      <c r="A204"/>
      <c r="B204"/>
      <c r="C204"/>
      <c r="D204"/>
      <c r="E204"/>
      <c r="F204"/>
    </row>
    <row r="205" spans="1:6" x14ac:dyDescent="0.3">
      <c r="A205"/>
      <c r="B205"/>
      <c r="C205"/>
      <c r="D205"/>
      <c r="E205"/>
      <c r="F205"/>
    </row>
    <row r="206" spans="1:6" x14ac:dyDescent="0.3">
      <c r="A206"/>
      <c r="B206"/>
      <c r="C206"/>
      <c r="D206"/>
      <c r="E206"/>
      <c r="F206"/>
    </row>
    <row r="207" spans="1:6" x14ac:dyDescent="0.3">
      <c r="A207"/>
      <c r="B207"/>
      <c r="C207"/>
      <c r="D207"/>
      <c r="E207"/>
      <c r="F207"/>
    </row>
    <row r="208" spans="1:6" x14ac:dyDescent="0.3">
      <c r="A208"/>
      <c r="B208"/>
      <c r="C208"/>
      <c r="D208"/>
      <c r="E208"/>
      <c r="F208"/>
    </row>
    <row r="209" spans="1:6" x14ac:dyDescent="0.3">
      <c r="A209"/>
      <c r="B209"/>
      <c r="C209"/>
      <c r="D209"/>
      <c r="E209"/>
      <c r="F209"/>
    </row>
    <row r="210" spans="1:6" x14ac:dyDescent="0.3">
      <c r="A210"/>
      <c r="B210"/>
      <c r="C210"/>
      <c r="D210"/>
      <c r="E210"/>
      <c r="F210"/>
    </row>
    <row r="211" spans="1:6" x14ac:dyDescent="0.3">
      <c r="A211"/>
      <c r="B211"/>
      <c r="C211"/>
      <c r="D211"/>
      <c r="E211"/>
      <c r="F211"/>
    </row>
    <row r="212" spans="1:6" x14ac:dyDescent="0.3">
      <c r="A212"/>
      <c r="B212"/>
      <c r="C212"/>
      <c r="D212"/>
      <c r="E212"/>
      <c r="F212"/>
    </row>
    <row r="213" spans="1:6" x14ac:dyDescent="0.3">
      <c r="A213"/>
      <c r="B213"/>
      <c r="C213"/>
      <c r="D213"/>
      <c r="E213"/>
      <c r="F213"/>
    </row>
    <row r="214" spans="1:6" x14ac:dyDescent="0.3">
      <c r="A214"/>
      <c r="B214"/>
      <c r="C214"/>
      <c r="D214"/>
      <c r="E214"/>
      <c r="F214"/>
    </row>
    <row r="215" spans="1:6" x14ac:dyDescent="0.3">
      <c r="A215"/>
      <c r="B215"/>
      <c r="C215"/>
      <c r="D215"/>
      <c r="E215"/>
      <c r="F215"/>
    </row>
    <row r="216" spans="1:6" x14ac:dyDescent="0.3">
      <c r="A216"/>
      <c r="B216"/>
      <c r="C216"/>
      <c r="D216"/>
      <c r="E216"/>
      <c r="F216"/>
    </row>
    <row r="217" spans="1:6" x14ac:dyDescent="0.3">
      <c r="A217"/>
      <c r="B217"/>
      <c r="C217"/>
      <c r="D217"/>
      <c r="E217"/>
      <c r="F217"/>
    </row>
    <row r="218" spans="1:6" x14ac:dyDescent="0.3">
      <c r="A218"/>
      <c r="B218"/>
      <c r="C218"/>
      <c r="D218"/>
      <c r="E218"/>
      <c r="F218"/>
    </row>
    <row r="219" spans="1:6" x14ac:dyDescent="0.3">
      <c r="A219"/>
      <c r="B219"/>
      <c r="C219"/>
      <c r="D219"/>
      <c r="E219"/>
      <c r="F219"/>
    </row>
    <row r="220" spans="1:6" x14ac:dyDescent="0.3">
      <c r="A220"/>
      <c r="B220"/>
      <c r="C220"/>
      <c r="D220"/>
      <c r="E220"/>
      <c r="F220"/>
    </row>
    <row r="221" spans="1:6" x14ac:dyDescent="0.3">
      <c r="A221"/>
      <c r="B221"/>
      <c r="C221"/>
      <c r="D221"/>
      <c r="E221"/>
      <c r="F221"/>
    </row>
    <row r="222" spans="1:6" x14ac:dyDescent="0.3">
      <c r="A222"/>
      <c r="B222"/>
      <c r="C222"/>
      <c r="D222"/>
      <c r="E222"/>
      <c r="F222"/>
    </row>
    <row r="223" spans="1:6" x14ac:dyDescent="0.3">
      <c r="A223"/>
      <c r="B223"/>
      <c r="C223"/>
      <c r="D223"/>
      <c r="E223"/>
      <c r="F2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0B5-1B38-4587-AA60-A63B6BD0E142}">
  <dimension ref="A1:B162"/>
  <sheetViews>
    <sheetView workbookViewId="0">
      <selection sqref="A1:XFD1"/>
    </sheetView>
  </sheetViews>
  <sheetFormatPr baseColWidth="10" defaultRowHeight="14.4" x14ac:dyDescent="0.3"/>
  <sheetData>
    <row r="1" spans="1:2" ht="15.6" x14ac:dyDescent="0.3">
      <c r="A1" s="9">
        <v>1940</v>
      </c>
      <c r="B1" s="16">
        <v>0.01</v>
      </c>
    </row>
    <row r="2" spans="1:2" ht="15.6" x14ac:dyDescent="0.3">
      <c r="A2" s="9">
        <v>1940.5</v>
      </c>
      <c r="B2" s="16">
        <v>0.01</v>
      </c>
    </row>
    <row r="3" spans="1:2" ht="15.6" x14ac:dyDescent="0.3">
      <c r="A3" s="9">
        <v>1941</v>
      </c>
      <c r="B3" s="16">
        <v>0.02</v>
      </c>
    </row>
    <row r="4" spans="1:2" ht="15.6" x14ac:dyDescent="0.3">
      <c r="A4" s="9">
        <v>1941.5</v>
      </c>
      <c r="B4" s="16">
        <v>0.02</v>
      </c>
    </row>
    <row r="5" spans="1:2" ht="15.6" x14ac:dyDescent="0.3">
      <c r="A5" s="9">
        <v>1942</v>
      </c>
      <c r="B5" s="16">
        <v>0.02</v>
      </c>
    </row>
    <row r="6" spans="1:2" ht="15.6" x14ac:dyDescent="0.3">
      <c r="A6" s="9">
        <v>1942.5</v>
      </c>
      <c r="B6" s="16">
        <v>0.02</v>
      </c>
    </row>
    <row r="7" spans="1:2" ht="15.6" x14ac:dyDescent="0.3">
      <c r="A7" s="9">
        <v>1943</v>
      </c>
      <c r="B7" s="16">
        <v>0.03</v>
      </c>
    </row>
    <row r="8" spans="1:2" ht="15.6" x14ac:dyDescent="0.3">
      <c r="A8" s="9">
        <v>1943.5</v>
      </c>
      <c r="B8" s="16">
        <v>0.03</v>
      </c>
    </row>
    <row r="9" spans="1:2" ht="15.6" x14ac:dyDescent="0.3">
      <c r="A9" s="9">
        <v>1944</v>
      </c>
      <c r="B9" s="16">
        <v>0.04</v>
      </c>
    </row>
    <row r="10" spans="1:2" ht="15.6" x14ac:dyDescent="0.3">
      <c r="A10" s="9">
        <v>1944.5</v>
      </c>
      <c r="B10" s="16">
        <v>0.04</v>
      </c>
    </row>
    <row r="11" spans="1:2" ht="15.6" x14ac:dyDescent="0.3">
      <c r="A11" s="9">
        <v>1945</v>
      </c>
      <c r="B11" s="16">
        <v>0.05</v>
      </c>
    </row>
    <row r="12" spans="1:2" ht="15.6" x14ac:dyDescent="0.3">
      <c r="A12" s="9">
        <v>1945.5</v>
      </c>
      <c r="B12" s="16">
        <v>0.05</v>
      </c>
    </row>
    <row r="13" spans="1:2" ht="15.6" x14ac:dyDescent="0.3">
      <c r="A13" s="9">
        <v>1946</v>
      </c>
      <c r="B13" s="16">
        <v>7.0000000000000007E-2</v>
      </c>
    </row>
    <row r="14" spans="1:2" ht="15.6" x14ac:dyDescent="0.3">
      <c r="A14" s="9">
        <v>1946.5</v>
      </c>
      <c r="B14" s="16">
        <v>0.08</v>
      </c>
    </row>
    <row r="15" spans="1:2" ht="15.6" x14ac:dyDescent="0.3">
      <c r="A15" s="9">
        <v>1947</v>
      </c>
      <c r="B15" s="16">
        <v>0.11</v>
      </c>
    </row>
    <row r="16" spans="1:2" ht="15.6" x14ac:dyDescent="0.3">
      <c r="A16" s="9">
        <v>1947.5</v>
      </c>
      <c r="B16" s="16">
        <v>0.14000000000000001</v>
      </c>
    </row>
    <row r="17" spans="1:2" ht="15.6" x14ac:dyDescent="0.3">
      <c r="A17" s="10">
        <v>1948</v>
      </c>
      <c r="B17" s="16">
        <v>0.2</v>
      </c>
    </row>
    <row r="18" spans="1:2" ht="15.6" x14ac:dyDescent="0.3">
      <c r="A18" s="10">
        <v>1948.5</v>
      </c>
      <c r="B18" s="16">
        <v>0.25</v>
      </c>
    </row>
    <row r="19" spans="1:2" ht="15.6" x14ac:dyDescent="0.3">
      <c r="A19" s="10">
        <v>1949</v>
      </c>
      <c r="B19" s="16">
        <v>0.34</v>
      </c>
    </row>
    <row r="20" spans="1:2" ht="15.6" x14ac:dyDescent="0.3">
      <c r="A20" s="10">
        <v>1949.5</v>
      </c>
      <c r="B20" s="16">
        <v>0.42</v>
      </c>
    </row>
    <row r="21" spans="1:2" ht="15.6" x14ac:dyDescent="0.3">
      <c r="A21" s="10">
        <v>1950</v>
      </c>
      <c r="B21" s="16">
        <v>0.55000000000000004</v>
      </c>
    </row>
    <row r="22" spans="1:2" ht="15.6" x14ac:dyDescent="0.3">
      <c r="A22" s="10">
        <v>1950.5</v>
      </c>
      <c r="B22" s="16">
        <v>0.67</v>
      </c>
    </row>
    <row r="23" spans="1:2" ht="15.6" x14ac:dyDescent="0.3">
      <c r="A23" s="10">
        <v>1951</v>
      </c>
      <c r="B23" s="16">
        <v>0.85</v>
      </c>
    </row>
    <row r="24" spans="1:2" ht="15.6" x14ac:dyDescent="0.3">
      <c r="A24" s="10">
        <v>1951.5</v>
      </c>
      <c r="B24" s="16">
        <v>1.02</v>
      </c>
    </row>
    <row r="25" spans="1:2" ht="15.6" x14ac:dyDescent="0.3">
      <c r="A25" s="10">
        <v>1952</v>
      </c>
      <c r="B25" s="16">
        <v>1.27</v>
      </c>
    </row>
    <row r="26" spans="1:2" ht="15.6" x14ac:dyDescent="0.3">
      <c r="A26" s="10">
        <v>1952.5</v>
      </c>
      <c r="B26" s="16">
        <v>1.52</v>
      </c>
    </row>
    <row r="27" spans="1:2" ht="15.6" x14ac:dyDescent="0.3">
      <c r="A27" s="10">
        <v>1953</v>
      </c>
      <c r="B27" s="16">
        <v>1.87</v>
      </c>
    </row>
    <row r="28" spans="1:2" ht="15.6" x14ac:dyDescent="0.3">
      <c r="A28" s="10">
        <v>1953.5</v>
      </c>
      <c r="B28" s="16">
        <v>2.2000000000000002</v>
      </c>
    </row>
    <row r="29" spans="1:2" ht="15.6" x14ac:dyDescent="0.3">
      <c r="A29" s="10">
        <v>1954</v>
      </c>
      <c r="B29" s="16">
        <v>2.63</v>
      </c>
    </row>
    <row r="30" spans="1:2" ht="15.6" x14ac:dyDescent="0.3">
      <c r="A30" s="10">
        <v>1954.5</v>
      </c>
      <c r="B30" s="16">
        <v>3.04</v>
      </c>
    </row>
    <row r="31" spans="1:2" ht="15.6" x14ac:dyDescent="0.3">
      <c r="A31" s="10">
        <v>1955</v>
      </c>
      <c r="B31" s="16">
        <v>3.56</v>
      </c>
    </row>
    <row r="32" spans="1:2" ht="15.6" x14ac:dyDescent="0.3">
      <c r="A32" s="10">
        <v>1955.5</v>
      </c>
      <c r="B32" s="16">
        <v>4.07</v>
      </c>
    </row>
    <row r="33" spans="1:2" ht="15.6" x14ac:dyDescent="0.3">
      <c r="A33" s="10">
        <v>1956</v>
      </c>
      <c r="B33" s="16">
        <v>4.71</v>
      </c>
    </row>
    <row r="34" spans="1:2" ht="15.6" x14ac:dyDescent="0.3">
      <c r="A34" s="10">
        <v>1956.5</v>
      </c>
      <c r="B34" s="16">
        <v>5.35</v>
      </c>
    </row>
    <row r="35" spans="1:2" ht="15.6" x14ac:dyDescent="0.3">
      <c r="A35" s="10">
        <v>1957</v>
      </c>
      <c r="B35" s="16">
        <v>6.06</v>
      </c>
    </row>
    <row r="36" spans="1:2" ht="15.6" x14ac:dyDescent="0.3">
      <c r="A36" s="10">
        <v>1957.5</v>
      </c>
      <c r="B36" s="16">
        <v>6.77</v>
      </c>
    </row>
    <row r="37" spans="1:2" ht="15.6" x14ac:dyDescent="0.3">
      <c r="A37" s="10">
        <v>1958</v>
      </c>
      <c r="B37" s="16">
        <v>7.42</v>
      </c>
    </row>
    <row r="38" spans="1:2" ht="15.6" x14ac:dyDescent="0.3">
      <c r="A38" s="10">
        <v>1958.5</v>
      </c>
      <c r="B38" s="16">
        <v>8.06</v>
      </c>
    </row>
    <row r="39" spans="1:2" ht="15.6" x14ac:dyDescent="0.3">
      <c r="A39" s="10">
        <v>1959</v>
      </c>
      <c r="B39" s="16">
        <v>8.7200000000000006</v>
      </c>
    </row>
    <row r="40" spans="1:2" ht="15.6" x14ac:dyDescent="0.3">
      <c r="A40" s="10">
        <v>1959.5</v>
      </c>
      <c r="B40" s="16">
        <v>9.3699999999999992</v>
      </c>
    </row>
    <row r="41" spans="1:2" ht="15.6" x14ac:dyDescent="0.3">
      <c r="A41" s="10">
        <v>1960</v>
      </c>
      <c r="B41" s="16">
        <v>10.199999999999999</v>
      </c>
    </row>
    <row r="42" spans="1:2" ht="15.6" x14ac:dyDescent="0.3">
      <c r="A42" s="10">
        <v>1960.5</v>
      </c>
      <c r="B42" s="16">
        <v>11.1</v>
      </c>
    </row>
    <row r="43" spans="1:2" ht="15.6" x14ac:dyDescent="0.3">
      <c r="A43" s="10">
        <v>1961</v>
      </c>
      <c r="B43" s="16">
        <v>12.2</v>
      </c>
    </row>
    <row r="44" spans="1:2" ht="15.6" x14ac:dyDescent="0.3">
      <c r="A44" s="10">
        <v>1961.5</v>
      </c>
      <c r="B44" s="16">
        <v>13.3</v>
      </c>
    </row>
    <row r="45" spans="1:2" ht="15.6" x14ac:dyDescent="0.3">
      <c r="A45" s="10">
        <v>1962</v>
      </c>
      <c r="B45" s="16">
        <v>14.8</v>
      </c>
    </row>
    <row r="46" spans="1:2" ht="15.6" x14ac:dyDescent="0.3">
      <c r="A46" s="10">
        <v>1962.5</v>
      </c>
      <c r="B46" s="16">
        <v>16.2</v>
      </c>
    </row>
    <row r="47" spans="1:2" ht="15.6" x14ac:dyDescent="0.3">
      <c r="A47" s="10">
        <v>1963</v>
      </c>
      <c r="B47" s="16">
        <v>17.899999999999999</v>
      </c>
    </row>
    <row r="48" spans="1:2" ht="15.6" x14ac:dyDescent="0.3">
      <c r="A48" s="10">
        <v>1963.5</v>
      </c>
      <c r="B48" s="16">
        <v>19.7</v>
      </c>
    </row>
    <row r="49" spans="1:2" ht="15.6" x14ac:dyDescent="0.3">
      <c r="A49" s="10">
        <v>1964</v>
      </c>
      <c r="B49" s="16">
        <v>21.7</v>
      </c>
    </row>
    <row r="50" spans="1:2" ht="15.6" x14ac:dyDescent="0.3">
      <c r="A50" s="10">
        <v>1964.5</v>
      </c>
      <c r="B50" s="16">
        <v>23.8</v>
      </c>
    </row>
    <row r="51" spans="1:2" ht="15.6" x14ac:dyDescent="0.3">
      <c r="A51" s="10">
        <v>1965</v>
      </c>
      <c r="B51" s="16">
        <v>26.1</v>
      </c>
    </row>
    <row r="52" spans="1:2" ht="15.6" x14ac:dyDescent="0.3">
      <c r="A52" s="10">
        <v>1965.5</v>
      </c>
      <c r="B52" s="16">
        <v>28.4</v>
      </c>
    </row>
    <row r="53" spans="1:2" ht="15.6" x14ac:dyDescent="0.3">
      <c r="A53" s="10">
        <v>1966</v>
      </c>
      <c r="B53" s="16">
        <v>31</v>
      </c>
    </row>
    <row r="54" spans="1:2" ht="15.6" x14ac:dyDescent="0.3">
      <c r="A54" s="10">
        <v>1966.5</v>
      </c>
      <c r="B54" s="16">
        <v>33.6</v>
      </c>
    </row>
    <row r="55" spans="1:2" ht="15.6" x14ac:dyDescent="0.3">
      <c r="A55" s="10">
        <v>1967</v>
      </c>
      <c r="B55" s="16">
        <v>36.5</v>
      </c>
    </row>
    <row r="56" spans="1:2" ht="15.6" x14ac:dyDescent="0.3">
      <c r="A56" s="10">
        <v>1967.5</v>
      </c>
      <c r="B56" s="16">
        <v>39.5</v>
      </c>
    </row>
    <row r="57" spans="1:2" ht="15.6" x14ac:dyDescent="0.3">
      <c r="A57" s="10">
        <v>1968</v>
      </c>
      <c r="B57" s="16">
        <v>42.8</v>
      </c>
    </row>
    <row r="58" spans="1:2" ht="15.6" x14ac:dyDescent="0.3">
      <c r="A58" s="10">
        <v>1968.5</v>
      </c>
      <c r="B58" s="16">
        <v>46.1</v>
      </c>
    </row>
    <row r="59" spans="1:2" ht="15.6" x14ac:dyDescent="0.3">
      <c r="A59" s="10">
        <v>1969</v>
      </c>
      <c r="B59" s="16">
        <v>50</v>
      </c>
    </row>
    <row r="60" spans="1:2" ht="15.6" x14ac:dyDescent="0.3">
      <c r="A60" s="10">
        <v>1969.5</v>
      </c>
      <c r="B60" s="16">
        <v>53.8</v>
      </c>
    </row>
    <row r="61" spans="1:2" ht="15.6" x14ac:dyDescent="0.3">
      <c r="A61" s="10">
        <v>1970</v>
      </c>
      <c r="B61" s="16">
        <v>58.2</v>
      </c>
    </row>
    <row r="62" spans="1:2" ht="15.6" x14ac:dyDescent="0.3">
      <c r="A62" s="10">
        <v>1970.5</v>
      </c>
      <c r="B62" s="16">
        <v>62.5</v>
      </c>
    </row>
    <row r="63" spans="1:2" ht="15.6" x14ac:dyDescent="0.3">
      <c r="A63" s="10">
        <v>1971</v>
      </c>
      <c r="B63" s="16">
        <v>67.3</v>
      </c>
    </row>
    <row r="64" spans="1:2" ht="15.6" x14ac:dyDescent="0.3">
      <c r="A64" s="10">
        <v>1971.5</v>
      </c>
      <c r="B64" s="16">
        <v>72.099999999999994</v>
      </c>
    </row>
    <row r="65" spans="1:2" ht="15.6" x14ac:dyDescent="0.3">
      <c r="A65" s="10">
        <v>1972</v>
      </c>
      <c r="B65" s="16">
        <v>77.400000000000006</v>
      </c>
    </row>
    <row r="66" spans="1:2" ht="15.6" x14ac:dyDescent="0.3">
      <c r="A66" s="10">
        <v>1972.5</v>
      </c>
      <c r="B66" s="16">
        <v>82.8</v>
      </c>
    </row>
    <row r="67" spans="1:2" ht="15.6" x14ac:dyDescent="0.3">
      <c r="A67" s="10">
        <v>1973</v>
      </c>
      <c r="B67" s="16">
        <v>88.9</v>
      </c>
    </row>
    <row r="68" spans="1:2" ht="15.6" x14ac:dyDescent="0.3">
      <c r="A68" s="10">
        <v>1973.5</v>
      </c>
      <c r="B68" s="16">
        <v>95</v>
      </c>
    </row>
    <row r="69" spans="1:2" ht="15.6" x14ac:dyDescent="0.3">
      <c r="A69" s="10">
        <v>1974</v>
      </c>
      <c r="B69" s="16">
        <v>101.6</v>
      </c>
    </row>
    <row r="70" spans="1:2" ht="15.6" x14ac:dyDescent="0.3">
      <c r="A70" s="10">
        <v>1974.5</v>
      </c>
      <c r="B70" s="16">
        <v>108.3</v>
      </c>
    </row>
    <row r="71" spans="1:2" ht="15.6" x14ac:dyDescent="0.3">
      <c r="A71" s="10">
        <v>1975</v>
      </c>
      <c r="B71" s="16">
        <v>113.9</v>
      </c>
    </row>
    <row r="72" spans="1:2" ht="15.6" x14ac:dyDescent="0.3">
      <c r="A72" s="10">
        <v>1975.5</v>
      </c>
      <c r="B72" s="16">
        <v>121.4</v>
      </c>
    </row>
    <row r="73" spans="1:2" ht="15.6" x14ac:dyDescent="0.3">
      <c r="A73" s="10">
        <v>1976</v>
      </c>
      <c r="B73" s="16">
        <v>128.19999999999999</v>
      </c>
    </row>
    <row r="74" spans="1:2" ht="15.6" x14ac:dyDescent="0.3">
      <c r="A74" s="10">
        <v>1976.5</v>
      </c>
      <c r="B74" s="16">
        <v>134.4</v>
      </c>
    </row>
    <row r="75" spans="1:2" ht="15.6" x14ac:dyDescent="0.3">
      <c r="A75" s="10">
        <v>1977</v>
      </c>
      <c r="B75" s="16">
        <v>141.30000000000001</v>
      </c>
    </row>
    <row r="76" spans="1:2" ht="15.6" x14ac:dyDescent="0.3">
      <c r="A76" s="10">
        <v>1977.5</v>
      </c>
      <c r="B76" s="16">
        <v>145.72399999999999</v>
      </c>
    </row>
    <row r="77" spans="1:2" ht="15.6" x14ac:dyDescent="0.3">
      <c r="A77" s="10">
        <v>1978</v>
      </c>
      <c r="B77" s="16">
        <v>149.82900000000001</v>
      </c>
    </row>
    <row r="78" spans="1:2" ht="15.6" x14ac:dyDescent="0.3">
      <c r="A78" s="10">
        <v>1978.5</v>
      </c>
      <c r="B78" s="16">
        <v>154.16399999999999</v>
      </c>
    </row>
    <row r="79" spans="1:2" ht="15.6" x14ac:dyDescent="0.3">
      <c r="A79" s="10">
        <v>1979</v>
      </c>
      <c r="B79" s="16">
        <v>159.19999999999999</v>
      </c>
    </row>
    <row r="80" spans="1:2" ht="15.6" x14ac:dyDescent="0.3">
      <c r="A80" s="10">
        <v>1979.5</v>
      </c>
      <c r="B80" s="16">
        <v>161.495</v>
      </c>
    </row>
    <row r="81" spans="1:2" ht="15.6" x14ac:dyDescent="0.3">
      <c r="A81" s="10">
        <v>1980</v>
      </c>
      <c r="B81" s="16">
        <v>168.982</v>
      </c>
    </row>
    <row r="82" spans="1:2" ht="15.6" x14ac:dyDescent="0.3">
      <c r="A82" s="10">
        <v>1980.5</v>
      </c>
      <c r="B82" s="16">
        <v>172.17500000000001</v>
      </c>
    </row>
    <row r="83" spans="1:2" ht="15.6" x14ac:dyDescent="0.3">
      <c r="A83" s="10">
        <v>1981</v>
      </c>
      <c r="B83" s="16">
        <v>175.93299999999999</v>
      </c>
    </row>
    <row r="84" spans="1:2" ht="15.6" x14ac:dyDescent="0.3">
      <c r="A84" s="10">
        <v>1981.5</v>
      </c>
      <c r="B84" s="16">
        <v>179.655</v>
      </c>
    </row>
    <row r="85" spans="1:2" ht="15.6" x14ac:dyDescent="0.3">
      <c r="A85" s="10">
        <v>1982</v>
      </c>
      <c r="B85" s="16">
        <v>184.31899999999999</v>
      </c>
    </row>
    <row r="86" spans="1:2" ht="15.6" x14ac:dyDescent="0.3">
      <c r="A86" s="10">
        <v>1982.5</v>
      </c>
      <c r="B86" s="16">
        <v>186.98099999999999</v>
      </c>
    </row>
    <row r="87" spans="1:2" ht="15.6" x14ac:dyDescent="0.3">
      <c r="A87" s="10">
        <v>1983</v>
      </c>
      <c r="B87" s="16">
        <v>192.94</v>
      </c>
    </row>
    <row r="88" spans="1:2" ht="15.6" x14ac:dyDescent="0.3">
      <c r="A88" s="10">
        <v>1983.5</v>
      </c>
      <c r="B88" s="16">
        <v>197.64599999999999</v>
      </c>
    </row>
    <row r="89" spans="1:2" ht="15.6" x14ac:dyDescent="0.3">
      <c r="A89" s="10">
        <v>1984</v>
      </c>
      <c r="B89" s="16">
        <v>201.90700000000001</v>
      </c>
    </row>
    <row r="90" spans="1:2" ht="15.6" x14ac:dyDescent="0.3">
      <c r="A90" s="10">
        <v>1984.5</v>
      </c>
      <c r="B90" s="16">
        <v>204.726</v>
      </c>
    </row>
    <row r="91" spans="1:2" ht="15.6" x14ac:dyDescent="0.3">
      <c r="A91" s="10">
        <v>1985</v>
      </c>
      <c r="B91" s="16">
        <v>212.90899999999999</v>
      </c>
    </row>
    <row r="92" spans="1:2" ht="15.6" x14ac:dyDescent="0.3">
      <c r="A92" s="10">
        <v>1985.5</v>
      </c>
      <c r="B92" s="16">
        <v>216.93</v>
      </c>
    </row>
    <row r="93" spans="1:2" ht="15.6" x14ac:dyDescent="0.3">
      <c r="A93" s="10">
        <v>1986</v>
      </c>
      <c r="B93" s="16">
        <v>223.82599999999999</v>
      </c>
    </row>
    <row r="94" spans="1:2" ht="15.6" x14ac:dyDescent="0.3">
      <c r="A94" s="10">
        <v>1986.5</v>
      </c>
      <c r="B94" s="16">
        <v>227.989</v>
      </c>
    </row>
    <row r="95" spans="1:2" ht="15.6" x14ac:dyDescent="0.3">
      <c r="A95" s="10">
        <v>1987</v>
      </c>
      <c r="B95" s="16">
        <v>235.297</v>
      </c>
    </row>
    <row r="96" spans="1:2" ht="15.6" x14ac:dyDescent="0.3">
      <c r="A96" s="10">
        <v>1987.5</v>
      </c>
      <c r="B96" s="16">
        <v>240.012</v>
      </c>
    </row>
    <row r="97" spans="1:2" ht="15.6" x14ac:dyDescent="0.3">
      <c r="A97" s="10">
        <v>1988</v>
      </c>
      <c r="B97" s="16">
        <v>248.37</v>
      </c>
    </row>
    <row r="98" spans="1:2" ht="15.6" x14ac:dyDescent="0.3">
      <c r="A98" s="10">
        <v>1988.5</v>
      </c>
      <c r="B98" s="16">
        <v>253.965</v>
      </c>
    </row>
    <row r="99" spans="1:2" ht="15.6" x14ac:dyDescent="0.3">
      <c r="A99" s="10">
        <v>1989</v>
      </c>
      <c r="B99" s="16">
        <v>259.01499999999999</v>
      </c>
    </row>
    <row r="100" spans="1:2" ht="15.6" x14ac:dyDescent="0.3">
      <c r="A100" s="10">
        <v>1989.5</v>
      </c>
      <c r="B100" s="16">
        <v>262.21600000000001</v>
      </c>
    </row>
    <row r="101" spans="1:2" ht="15.6" x14ac:dyDescent="0.3">
      <c r="A101" s="10">
        <v>1990</v>
      </c>
      <c r="B101" s="16">
        <v>267.654</v>
      </c>
    </row>
    <row r="102" spans="1:2" ht="15.6" x14ac:dyDescent="0.3">
      <c r="A102" s="10">
        <v>1990.5</v>
      </c>
      <c r="B102" s="17">
        <v>266.86900000000003</v>
      </c>
    </row>
    <row r="103" spans="1:2" ht="15.6" x14ac:dyDescent="0.3">
      <c r="A103" s="10">
        <v>1991</v>
      </c>
      <c r="B103" s="17">
        <v>269.78199999999998</v>
      </c>
    </row>
    <row r="104" spans="1:2" ht="15.6" x14ac:dyDescent="0.3">
      <c r="A104" s="10">
        <v>1991.5</v>
      </c>
      <c r="B104" s="17">
        <v>269.99200000000002</v>
      </c>
    </row>
    <row r="105" spans="1:2" ht="15.6" x14ac:dyDescent="0.3">
      <c r="A105" s="10">
        <v>1992</v>
      </c>
      <c r="B105" s="17">
        <v>272.541</v>
      </c>
    </row>
    <row r="106" spans="1:2" ht="15.6" x14ac:dyDescent="0.3">
      <c r="A106" s="10">
        <v>1992.5</v>
      </c>
      <c r="B106" s="17">
        <v>273.34500000000003</v>
      </c>
    </row>
    <row r="107" spans="1:2" ht="15.6" x14ac:dyDescent="0.3">
      <c r="A107" s="10">
        <v>1993</v>
      </c>
      <c r="B107" s="18">
        <v>275.14999999999998</v>
      </c>
    </row>
    <row r="108" spans="1:2" ht="15.6" x14ac:dyDescent="0.3">
      <c r="A108" s="10">
        <v>1993.5</v>
      </c>
      <c r="B108" s="18">
        <v>274.137</v>
      </c>
    </row>
    <row r="109" spans="1:2" ht="15.6" x14ac:dyDescent="0.3">
      <c r="A109" s="10">
        <v>1994</v>
      </c>
      <c r="B109" s="18">
        <v>274.33499999999998</v>
      </c>
    </row>
    <row r="110" spans="1:2" ht="15.6" x14ac:dyDescent="0.3">
      <c r="A110" s="10">
        <v>1994.5</v>
      </c>
      <c r="B110" s="17">
        <v>273.21199999999999</v>
      </c>
    </row>
    <row r="111" spans="1:2" ht="15.6" x14ac:dyDescent="0.3">
      <c r="A111" s="10">
        <v>1995</v>
      </c>
      <c r="B111" s="17">
        <v>273.09800000000001</v>
      </c>
    </row>
    <row r="112" spans="1:2" ht="15.6" x14ac:dyDescent="0.3">
      <c r="A112" s="10">
        <v>1995.5</v>
      </c>
      <c r="B112" s="17">
        <v>272.322</v>
      </c>
    </row>
    <row r="113" spans="1:2" ht="15.6" x14ac:dyDescent="0.3">
      <c r="A113" s="10">
        <v>1996</v>
      </c>
      <c r="B113" s="17">
        <v>271.83</v>
      </c>
    </row>
    <row r="114" spans="1:2" ht="15.6" x14ac:dyDescent="0.3">
      <c r="A114" s="10">
        <v>1996.5</v>
      </c>
      <c r="B114" s="17">
        <v>270.83499999999998</v>
      </c>
    </row>
    <row r="115" spans="1:2" ht="15.6" x14ac:dyDescent="0.3">
      <c r="A115" s="10">
        <v>1997</v>
      </c>
      <c r="B115" s="17">
        <v>270.37799999999999</v>
      </c>
    </row>
    <row r="116" spans="1:2" ht="15.6" x14ac:dyDescent="0.3">
      <c r="A116" s="10">
        <v>1997.5</v>
      </c>
      <c r="B116" s="17">
        <v>269.36599999999999</v>
      </c>
    </row>
    <row r="117" spans="1:2" ht="15.6" x14ac:dyDescent="0.3">
      <c r="A117" s="10">
        <v>1998</v>
      </c>
      <c r="B117" s="17">
        <v>269.01799999999997</v>
      </c>
    </row>
    <row r="118" spans="1:2" ht="15.6" x14ac:dyDescent="0.3">
      <c r="A118" s="10">
        <v>1998.5</v>
      </c>
      <c r="B118" s="17">
        <v>267.21899999999999</v>
      </c>
    </row>
    <row r="119" spans="1:2" ht="15.6" x14ac:dyDescent="0.3">
      <c r="A119" s="10">
        <v>1999</v>
      </c>
      <c r="B119" s="17">
        <v>267.40600000000001</v>
      </c>
    </row>
    <row r="120" spans="1:2" ht="15.6" x14ac:dyDescent="0.3">
      <c r="A120" s="10">
        <v>1999.5</v>
      </c>
      <c r="B120" s="17">
        <v>265.72199999999998</v>
      </c>
    </row>
    <row r="121" spans="1:2" ht="15.6" x14ac:dyDescent="0.3">
      <c r="A121" s="10">
        <v>2000</v>
      </c>
      <c r="B121" s="17">
        <v>265.53300000000002</v>
      </c>
    </row>
    <row r="122" spans="1:2" ht="15.6" x14ac:dyDescent="0.3">
      <c r="A122" s="10">
        <v>2000.5</v>
      </c>
      <c r="B122" s="17">
        <v>264.08600000000001</v>
      </c>
    </row>
    <row r="123" spans="1:2" ht="15.6" x14ac:dyDescent="0.3">
      <c r="A123" s="10">
        <v>2001</v>
      </c>
      <c r="B123" s="17">
        <v>263.71300000000002</v>
      </c>
    </row>
    <row r="124" spans="1:2" ht="15.6" x14ac:dyDescent="0.3">
      <c r="A124" s="10">
        <v>2001.5</v>
      </c>
      <c r="B124" s="17">
        <v>262.13400000000001</v>
      </c>
    </row>
    <row r="125" spans="1:2" ht="15.6" x14ac:dyDescent="0.3">
      <c r="A125" s="10">
        <v>2002</v>
      </c>
      <c r="B125" s="17">
        <v>261.62299999999999</v>
      </c>
    </row>
    <row r="126" spans="1:2" ht="15.6" x14ac:dyDescent="0.3">
      <c r="A126" s="10">
        <v>2002.5</v>
      </c>
      <c r="B126" s="17">
        <v>259.88499999999999</v>
      </c>
    </row>
    <row r="127" spans="1:2" ht="15.6" x14ac:dyDescent="0.3">
      <c r="A127" s="10">
        <v>2003</v>
      </c>
      <c r="B127" s="17">
        <v>258.96699999999998</v>
      </c>
    </row>
    <row r="128" spans="1:2" ht="15.6" x14ac:dyDescent="0.3">
      <c r="A128" s="10">
        <v>2003.5</v>
      </c>
      <c r="B128" s="17">
        <v>257.661</v>
      </c>
    </row>
    <row r="129" spans="1:2" ht="15.6" x14ac:dyDescent="0.3">
      <c r="A129" s="10">
        <v>2004</v>
      </c>
      <c r="B129" s="17">
        <v>256.536</v>
      </c>
    </row>
    <row r="130" spans="1:2" ht="15.6" x14ac:dyDescent="0.3">
      <c r="A130" s="10">
        <v>2004.5</v>
      </c>
      <c r="B130" s="17">
        <v>255.09</v>
      </c>
    </row>
    <row r="131" spans="1:2" ht="15.6" x14ac:dyDescent="0.3">
      <c r="A131" s="10">
        <v>2005</v>
      </c>
      <c r="B131" s="17">
        <v>253.893</v>
      </c>
    </row>
    <row r="132" spans="1:2" ht="15.6" x14ac:dyDescent="0.3">
      <c r="A132" s="10">
        <v>2005.5</v>
      </c>
      <c r="B132" s="17">
        <v>252.90899999999999</v>
      </c>
    </row>
    <row r="133" spans="1:2" ht="15.6" x14ac:dyDescent="0.3">
      <c r="A133" s="10">
        <v>2006</v>
      </c>
      <c r="B133" s="17">
        <v>251.899</v>
      </c>
    </row>
    <row r="134" spans="1:2" ht="15.6" x14ac:dyDescent="0.3">
      <c r="A134" s="10">
        <v>2006.5</v>
      </c>
      <c r="B134" s="17">
        <v>250.65100000000001</v>
      </c>
    </row>
    <row r="135" spans="1:2" ht="15.6" x14ac:dyDescent="0.3">
      <c r="A135" s="10">
        <v>2007</v>
      </c>
      <c r="B135" s="17">
        <v>249.488</v>
      </c>
    </row>
    <row r="136" spans="1:2" ht="15.6" x14ac:dyDescent="0.3">
      <c r="A136" s="10">
        <v>2007.5</v>
      </c>
      <c r="B136" s="17">
        <v>248.06800000000001</v>
      </c>
    </row>
    <row r="137" spans="1:2" ht="15.6" x14ac:dyDescent="0.3">
      <c r="A137" s="10">
        <v>2008</v>
      </c>
      <c r="B137" s="17">
        <v>247.21700000000001</v>
      </c>
    </row>
    <row r="138" spans="1:2" ht="15.6" x14ac:dyDescent="0.3">
      <c r="A138" s="10">
        <v>2008.5</v>
      </c>
      <c r="B138" s="17">
        <v>245.803</v>
      </c>
    </row>
    <row r="139" spans="1:2" ht="15.6" x14ac:dyDescent="0.3">
      <c r="A139" s="10">
        <v>2009</v>
      </c>
      <c r="B139" s="17">
        <v>245.06800000000001</v>
      </c>
    </row>
    <row r="140" spans="1:2" ht="15.6" x14ac:dyDescent="0.3">
      <c r="A140" s="10">
        <v>2009.5</v>
      </c>
      <c r="B140" s="17">
        <v>243.51900000000001</v>
      </c>
    </row>
    <row r="141" spans="1:2" ht="15.6" x14ac:dyDescent="0.3">
      <c r="A141" s="10">
        <v>2010</v>
      </c>
      <c r="B141" s="17">
        <v>243.17099999999999</v>
      </c>
    </row>
    <row r="142" spans="1:2" ht="15.6" x14ac:dyDescent="0.3">
      <c r="A142" s="10">
        <v>2010.5</v>
      </c>
      <c r="B142" s="13">
        <v>241.46899999999999</v>
      </c>
    </row>
    <row r="143" spans="1:2" ht="15.6" x14ac:dyDescent="0.3">
      <c r="A143" s="10">
        <v>2011</v>
      </c>
      <c r="B143" s="13">
        <v>240.87700000000001</v>
      </c>
    </row>
    <row r="144" spans="1:2" ht="15.6" x14ac:dyDescent="0.3">
      <c r="A144" s="10">
        <v>2011.5</v>
      </c>
      <c r="B144" s="13">
        <v>239.53399999999999</v>
      </c>
    </row>
    <row r="145" spans="1:2" ht="15.6" x14ac:dyDescent="0.3">
      <c r="A145" s="10">
        <v>2012</v>
      </c>
      <c r="B145" s="13">
        <v>238.84899999999999</v>
      </c>
    </row>
    <row r="146" spans="1:2" ht="15.6" x14ac:dyDescent="0.3">
      <c r="A146" s="10">
        <v>2012.5</v>
      </c>
      <c r="B146" s="13">
        <v>236.83600000000001</v>
      </c>
    </row>
    <row r="147" spans="1:2" ht="15.6" x14ac:dyDescent="0.3">
      <c r="A147" s="10">
        <v>2013</v>
      </c>
      <c r="B147" s="13">
        <v>236.21199999999999</v>
      </c>
    </row>
    <row r="148" spans="1:2" ht="15.6" x14ac:dyDescent="0.3">
      <c r="A148" s="10">
        <v>2013.5</v>
      </c>
      <c r="B148" s="13">
        <v>235.703</v>
      </c>
    </row>
    <row r="149" spans="1:2" ht="15.6" x14ac:dyDescent="0.3">
      <c r="A149" s="10">
        <v>2014</v>
      </c>
      <c r="B149" s="13">
        <v>235.2</v>
      </c>
    </row>
    <row r="150" spans="1:2" ht="15.6" x14ac:dyDescent="0.3">
      <c r="A150" s="10">
        <v>2014.5</v>
      </c>
      <c r="B150" s="13">
        <v>234.8</v>
      </c>
    </row>
    <row r="151" spans="1:2" ht="15.6" x14ac:dyDescent="0.3">
      <c r="A151" s="10">
        <v>2015</v>
      </c>
      <c r="B151" s="13">
        <v>234.5</v>
      </c>
    </row>
    <row r="152" spans="1:2" ht="15.6" x14ac:dyDescent="0.3">
      <c r="A152" s="10">
        <v>2015.5</v>
      </c>
      <c r="B152" s="13">
        <v>232.9</v>
      </c>
    </row>
    <row r="153" spans="1:2" ht="15.6" x14ac:dyDescent="0.3">
      <c r="A153" s="10">
        <v>2016</v>
      </c>
      <c r="B153" s="13">
        <v>231.54</v>
      </c>
    </row>
    <row r="154" spans="1:2" ht="15.6" x14ac:dyDescent="0.3">
      <c r="A154" s="10">
        <v>2016.5</v>
      </c>
      <c r="B154" s="13">
        <v>231.28</v>
      </c>
    </row>
    <row r="155" spans="1:2" ht="16.2" thickBot="1" x14ac:dyDescent="0.35">
      <c r="A155" s="11">
        <v>2017</v>
      </c>
      <c r="B155" s="13">
        <v>230.61</v>
      </c>
    </row>
    <row r="156" spans="1:2" ht="15.6" x14ac:dyDescent="0.3">
      <c r="A156" s="10">
        <v>2017.5</v>
      </c>
      <c r="B156" s="13">
        <v>230.45</v>
      </c>
    </row>
    <row r="157" spans="1:2" ht="16.2" thickBot="1" x14ac:dyDescent="0.35">
      <c r="A157" s="11">
        <v>2018</v>
      </c>
      <c r="B157" s="13">
        <v>229.85</v>
      </c>
    </row>
    <row r="158" spans="1:2" ht="15.6" x14ac:dyDescent="0.3">
      <c r="A158" s="10">
        <v>2018.5</v>
      </c>
      <c r="B158" s="15">
        <v>229.19</v>
      </c>
    </row>
    <row r="159" spans="1:2" ht="16.2" thickBot="1" x14ac:dyDescent="0.35">
      <c r="A159" s="11">
        <v>2019</v>
      </c>
      <c r="B159" s="13">
        <v>228.25</v>
      </c>
    </row>
    <row r="160" spans="1:2" ht="15.6" x14ac:dyDescent="0.3">
      <c r="A160" s="10">
        <v>2019.5</v>
      </c>
      <c r="B160" s="13">
        <v>226.79</v>
      </c>
    </row>
    <row r="161" spans="1:2" ht="15.6" x14ac:dyDescent="0.3">
      <c r="A161" s="10">
        <v>2020</v>
      </c>
      <c r="B161" s="13">
        <v>225.47</v>
      </c>
    </row>
    <row r="162" spans="1:2" ht="16.2" thickBot="1" x14ac:dyDescent="0.35">
      <c r="A162" s="11">
        <v>2020.5</v>
      </c>
      <c r="B162" s="13">
        <v>224.28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A0C5-7B30-409F-8E20-468BF145D321}">
  <dimension ref="A1:B162"/>
  <sheetViews>
    <sheetView workbookViewId="0">
      <selection sqref="A1:XFD1"/>
    </sheetView>
  </sheetViews>
  <sheetFormatPr baseColWidth="10" defaultRowHeight="14.4" x14ac:dyDescent="0.3"/>
  <sheetData>
    <row r="1" spans="1:2" ht="15.6" x14ac:dyDescent="0.3">
      <c r="A1" s="9">
        <v>1940</v>
      </c>
      <c r="B1" s="16">
        <v>0.34</v>
      </c>
    </row>
    <row r="2" spans="1:2" ht="15.6" x14ac:dyDescent="0.3">
      <c r="A2" s="9">
        <v>1940.5</v>
      </c>
      <c r="B2" s="16">
        <v>0.4</v>
      </c>
    </row>
    <row r="3" spans="1:2" ht="15.6" x14ac:dyDescent="0.3">
      <c r="A3" s="9">
        <v>1941</v>
      </c>
      <c r="B3" s="16">
        <v>0.48</v>
      </c>
    </row>
    <row r="4" spans="1:2" ht="15.6" x14ac:dyDescent="0.3">
      <c r="A4" s="9">
        <v>1941.5</v>
      </c>
      <c r="B4" s="16">
        <v>0.56000000000000005</v>
      </c>
    </row>
    <row r="5" spans="1:2" ht="15.6" x14ac:dyDescent="0.3">
      <c r="A5" s="9">
        <v>1942</v>
      </c>
      <c r="B5" s="16">
        <v>0.66</v>
      </c>
    </row>
    <row r="6" spans="1:2" ht="15.6" x14ac:dyDescent="0.3">
      <c r="A6" s="9">
        <v>1942.5</v>
      </c>
      <c r="B6" s="16">
        <v>0.76</v>
      </c>
    </row>
    <row r="7" spans="1:2" ht="15.6" x14ac:dyDescent="0.3">
      <c r="A7" s="9">
        <v>1943</v>
      </c>
      <c r="B7" s="16">
        <v>0.88</v>
      </c>
    </row>
    <row r="8" spans="1:2" ht="15.6" x14ac:dyDescent="0.3">
      <c r="A8" s="9">
        <v>1943.5</v>
      </c>
      <c r="B8" s="16">
        <v>1.01</v>
      </c>
    </row>
    <row r="9" spans="1:2" ht="15.6" x14ac:dyDescent="0.3">
      <c r="A9" s="9">
        <v>1944</v>
      </c>
      <c r="B9" s="16">
        <v>1.18</v>
      </c>
    </row>
    <row r="10" spans="1:2" ht="15.6" x14ac:dyDescent="0.3">
      <c r="A10" s="9">
        <v>1944.5</v>
      </c>
      <c r="B10" s="16">
        <v>1.34</v>
      </c>
    </row>
    <row r="11" spans="1:2" ht="15.6" x14ac:dyDescent="0.3">
      <c r="A11" s="9">
        <v>1945</v>
      </c>
      <c r="B11" s="16">
        <v>1.56</v>
      </c>
    </row>
    <row r="12" spans="1:2" ht="15.6" x14ac:dyDescent="0.3">
      <c r="A12" s="9">
        <v>1945.5</v>
      </c>
      <c r="B12" s="16">
        <v>1.77</v>
      </c>
    </row>
    <row r="13" spans="1:2" ht="15.6" x14ac:dyDescent="0.3">
      <c r="A13" s="9">
        <v>1946</v>
      </c>
      <c r="B13" s="16">
        <v>2.15</v>
      </c>
    </row>
    <row r="14" spans="1:2" ht="15.6" x14ac:dyDescent="0.3">
      <c r="A14" s="9">
        <v>1946.5</v>
      </c>
      <c r="B14" s="16">
        <v>2.5299999999999998</v>
      </c>
    </row>
    <row r="15" spans="1:2" ht="15.6" x14ac:dyDescent="0.3">
      <c r="A15" s="9">
        <v>1947</v>
      </c>
      <c r="B15" s="16">
        <v>3.11</v>
      </c>
    </row>
    <row r="16" spans="1:2" ht="15.6" x14ac:dyDescent="0.3">
      <c r="A16" s="9">
        <v>1947.5</v>
      </c>
      <c r="B16" s="16">
        <v>3.7</v>
      </c>
    </row>
    <row r="17" spans="1:2" ht="15.6" x14ac:dyDescent="0.3">
      <c r="A17" s="10">
        <v>1948</v>
      </c>
      <c r="B17" s="16">
        <v>4.37</v>
      </c>
    </row>
    <row r="18" spans="1:2" ht="15.6" x14ac:dyDescent="0.3">
      <c r="A18" s="10">
        <v>1948.5</v>
      </c>
      <c r="B18" s="16">
        <v>5.04</v>
      </c>
    </row>
    <row r="19" spans="1:2" ht="15.6" x14ac:dyDescent="0.3">
      <c r="A19" s="10">
        <v>1949</v>
      </c>
      <c r="B19" s="16">
        <v>5.76</v>
      </c>
    </row>
    <row r="20" spans="1:2" ht="15.6" x14ac:dyDescent="0.3">
      <c r="A20" s="10">
        <v>1949.5</v>
      </c>
      <c r="B20" s="16">
        <v>6.48</v>
      </c>
    </row>
    <row r="21" spans="1:2" ht="15.6" x14ac:dyDescent="0.3">
      <c r="A21" s="10">
        <v>1950</v>
      </c>
      <c r="B21" s="16">
        <v>7.28</v>
      </c>
    </row>
    <row r="22" spans="1:2" ht="15.6" x14ac:dyDescent="0.3">
      <c r="A22" s="10">
        <v>1950.5</v>
      </c>
      <c r="B22" s="16">
        <v>8.07</v>
      </c>
    </row>
    <row r="23" spans="1:2" ht="15.6" x14ac:dyDescent="0.3">
      <c r="A23" s="10">
        <v>1951</v>
      </c>
      <c r="B23" s="16">
        <v>8.93</v>
      </c>
    </row>
    <row r="24" spans="1:2" ht="15.6" x14ac:dyDescent="0.3">
      <c r="A24" s="10">
        <v>1951.5</v>
      </c>
      <c r="B24" s="16">
        <v>9.8000000000000007</v>
      </c>
    </row>
    <row r="25" spans="1:2" ht="15.6" x14ac:dyDescent="0.3">
      <c r="A25" s="10">
        <v>1952</v>
      </c>
      <c r="B25" s="16">
        <v>10.7</v>
      </c>
    </row>
    <row r="26" spans="1:2" ht="15.6" x14ac:dyDescent="0.3">
      <c r="A26" s="10">
        <v>1952.5</v>
      </c>
      <c r="B26" s="16">
        <v>11.6</v>
      </c>
    </row>
    <row r="27" spans="1:2" ht="15.6" x14ac:dyDescent="0.3">
      <c r="A27" s="10">
        <v>1953</v>
      </c>
      <c r="B27" s="16">
        <v>12.6</v>
      </c>
    </row>
    <row r="28" spans="1:2" ht="15.6" x14ac:dyDescent="0.3">
      <c r="A28" s="10">
        <v>1953.5</v>
      </c>
      <c r="B28" s="16">
        <v>13.6</v>
      </c>
    </row>
    <row r="29" spans="1:2" ht="15.6" x14ac:dyDescent="0.3">
      <c r="A29" s="10">
        <v>1954</v>
      </c>
      <c r="B29" s="16">
        <v>14.7</v>
      </c>
    </row>
    <row r="30" spans="1:2" ht="15.6" x14ac:dyDescent="0.3">
      <c r="A30" s="10">
        <v>1954.5</v>
      </c>
      <c r="B30" s="16">
        <v>15.9</v>
      </c>
    </row>
    <row r="31" spans="1:2" ht="15.6" x14ac:dyDescent="0.3">
      <c r="A31" s="10">
        <v>1955</v>
      </c>
      <c r="B31" s="16">
        <v>17.100000000000001</v>
      </c>
    </row>
    <row r="32" spans="1:2" ht="15.6" x14ac:dyDescent="0.3">
      <c r="A32" s="10">
        <v>1955.5</v>
      </c>
      <c r="B32" s="16">
        <v>18.399999999999999</v>
      </c>
    </row>
    <row r="33" spans="1:2" ht="15.6" x14ac:dyDescent="0.3">
      <c r="A33" s="10">
        <v>1956</v>
      </c>
      <c r="B33" s="16">
        <v>19.899999999999999</v>
      </c>
    </row>
    <row r="34" spans="1:2" ht="15.6" x14ac:dyDescent="0.3">
      <c r="A34" s="10">
        <v>1956.5</v>
      </c>
      <c r="B34" s="16">
        <v>21.4</v>
      </c>
    </row>
    <row r="35" spans="1:2" ht="15.6" x14ac:dyDescent="0.3">
      <c r="A35" s="10">
        <v>1957</v>
      </c>
      <c r="B35" s="16">
        <v>23.1</v>
      </c>
    </row>
    <row r="36" spans="1:2" ht="15.6" x14ac:dyDescent="0.3">
      <c r="A36" s="10">
        <v>1957.5</v>
      </c>
      <c r="B36" s="16">
        <v>24.7</v>
      </c>
    </row>
    <row r="37" spans="1:2" ht="15.6" x14ac:dyDescent="0.3">
      <c r="A37" s="10">
        <v>1958</v>
      </c>
      <c r="B37" s="16">
        <v>26.5</v>
      </c>
    </row>
    <row r="38" spans="1:2" ht="15.6" x14ac:dyDescent="0.3">
      <c r="A38" s="10">
        <v>1958.5</v>
      </c>
      <c r="B38" s="16">
        <v>28.3</v>
      </c>
    </row>
    <row r="39" spans="1:2" ht="15.6" x14ac:dyDescent="0.3">
      <c r="A39" s="10">
        <v>1959</v>
      </c>
      <c r="B39" s="16">
        <v>30.2</v>
      </c>
    </row>
    <row r="40" spans="1:2" ht="15.6" x14ac:dyDescent="0.3">
      <c r="A40" s="10">
        <v>1959.5</v>
      </c>
      <c r="B40" s="16">
        <v>32.200000000000003</v>
      </c>
    </row>
    <row r="41" spans="1:2" ht="15.6" x14ac:dyDescent="0.3">
      <c r="A41" s="10">
        <v>1960</v>
      </c>
      <c r="B41" s="16">
        <v>34.5</v>
      </c>
    </row>
    <row r="42" spans="1:2" ht="15.6" x14ac:dyDescent="0.3">
      <c r="A42" s="10">
        <v>1960.5</v>
      </c>
      <c r="B42" s="16">
        <v>36.9</v>
      </c>
    </row>
    <row r="43" spans="1:2" ht="15.6" x14ac:dyDescent="0.3">
      <c r="A43" s="10">
        <v>1961</v>
      </c>
      <c r="B43" s="16">
        <v>39.5</v>
      </c>
    </row>
    <row r="44" spans="1:2" ht="15.6" x14ac:dyDescent="0.3">
      <c r="A44" s="10">
        <v>1961.5</v>
      </c>
      <c r="B44" s="16">
        <v>42.1</v>
      </c>
    </row>
    <row r="45" spans="1:2" ht="15.6" x14ac:dyDescent="0.3">
      <c r="A45" s="10">
        <v>1962</v>
      </c>
      <c r="B45" s="16">
        <v>45.1</v>
      </c>
    </row>
    <row r="46" spans="1:2" ht="15.6" x14ac:dyDescent="0.3">
      <c r="A46" s="10">
        <v>1962.5</v>
      </c>
      <c r="B46" s="16">
        <v>48.1</v>
      </c>
    </row>
    <row r="47" spans="1:2" ht="15.6" x14ac:dyDescent="0.3">
      <c r="A47" s="10">
        <v>1963</v>
      </c>
      <c r="B47" s="16">
        <v>51.6</v>
      </c>
    </row>
    <row r="48" spans="1:2" ht="15.6" x14ac:dyDescent="0.3">
      <c r="A48" s="10">
        <v>1963.5</v>
      </c>
      <c r="B48" s="16">
        <v>55.1</v>
      </c>
    </row>
    <row r="49" spans="1:2" ht="15.6" x14ac:dyDescent="0.3">
      <c r="A49" s="10">
        <v>1964</v>
      </c>
      <c r="B49" s="16">
        <v>59.2</v>
      </c>
    </row>
    <row r="50" spans="1:2" ht="15.6" x14ac:dyDescent="0.3">
      <c r="A50" s="10">
        <v>1964.5</v>
      </c>
      <c r="B50" s="16">
        <v>63.3</v>
      </c>
    </row>
    <row r="51" spans="1:2" ht="15.6" x14ac:dyDescent="0.3">
      <c r="A51" s="10">
        <v>1965</v>
      </c>
      <c r="B51" s="16">
        <v>67.900000000000006</v>
      </c>
    </row>
    <row r="52" spans="1:2" ht="15.6" x14ac:dyDescent="0.3">
      <c r="A52" s="10">
        <v>1965.5</v>
      </c>
      <c r="B52" s="16">
        <v>72.5</v>
      </c>
    </row>
    <row r="53" spans="1:2" ht="15.6" x14ac:dyDescent="0.3">
      <c r="A53" s="10">
        <v>1966</v>
      </c>
      <c r="B53" s="16">
        <v>77.599999999999994</v>
      </c>
    </row>
    <row r="54" spans="1:2" ht="15.6" x14ac:dyDescent="0.3">
      <c r="A54" s="10">
        <v>1966.5</v>
      </c>
      <c r="B54" s="16">
        <v>82.8</v>
      </c>
    </row>
    <row r="55" spans="1:2" ht="15.6" x14ac:dyDescent="0.3">
      <c r="A55" s="10">
        <v>1967</v>
      </c>
      <c r="B55" s="16">
        <v>88.5</v>
      </c>
    </row>
    <row r="56" spans="1:2" ht="15.6" x14ac:dyDescent="0.3">
      <c r="A56" s="10">
        <v>1967.5</v>
      </c>
      <c r="B56" s="16">
        <v>94.3</v>
      </c>
    </row>
    <row r="57" spans="1:2" ht="15.6" x14ac:dyDescent="0.3">
      <c r="A57" s="10">
        <v>1968</v>
      </c>
      <c r="B57" s="16">
        <v>100.7</v>
      </c>
    </row>
    <row r="58" spans="1:2" ht="15.6" x14ac:dyDescent="0.3">
      <c r="A58" s="10">
        <v>1968.5</v>
      </c>
      <c r="B58" s="16">
        <v>107.2</v>
      </c>
    </row>
    <row r="59" spans="1:2" ht="15.6" x14ac:dyDescent="0.3">
      <c r="A59" s="10">
        <v>1969</v>
      </c>
      <c r="B59" s="16">
        <v>114.4</v>
      </c>
    </row>
    <row r="60" spans="1:2" ht="15.6" x14ac:dyDescent="0.3">
      <c r="A60" s="10">
        <v>1969.5</v>
      </c>
      <c r="B60" s="16">
        <v>121.5</v>
      </c>
    </row>
    <row r="61" spans="1:2" ht="15.6" x14ac:dyDescent="0.3">
      <c r="A61" s="10">
        <v>1970</v>
      </c>
      <c r="B61" s="16">
        <v>129.30000000000001</v>
      </c>
    </row>
    <row r="62" spans="1:2" ht="15.6" x14ac:dyDescent="0.3">
      <c r="A62" s="10">
        <v>1970.5</v>
      </c>
      <c r="B62" s="16">
        <v>137.19999999999999</v>
      </c>
    </row>
    <row r="63" spans="1:2" ht="15.6" x14ac:dyDescent="0.3">
      <c r="A63" s="10">
        <v>1971</v>
      </c>
      <c r="B63" s="16">
        <v>145.5</v>
      </c>
    </row>
    <row r="64" spans="1:2" ht="15.6" x14ac:dyDescent="0.3">
      <c r="A64" s="10">
        <v>1971.5</v>
      </c>
      <c r="B64" s="16">
        <v>153.9</v>
      </c>
    </row>
    <row r="65" spans="1:2" ht="15.6" x14ac:dyDescent="0.3">
      <c r="A65" s="10">
        <v>1972</v>
      </c>
      <c r="B65" s="16">
        <v>162.9</v>
      </c>
    </row>
    <row r="66" spans="1:2" ht="15.6" x14ac:dyDescent="0.3">
      <c r="A66" s="10">
        <v>1972.5</v>
      </c>
      <c r="B66" s="16">
        <v>172</v>
      </c>
    </row>
    <row r="67" spans="1:2" ht="15.6" x14ac:dyDescent="0.3">
      <c r="A67" s="10">
        <v>1973</v>
      </c>
      <c r="B67" s="16">
        <v>182</v>
      </c>
    </row>
    <row r="68" spans="1:2" ht="15.6" x14ac:dyDescent="0.3">
      <c r="A68" s="10">
        <v>1973.5</v>
      </c>
      <c r="B68" s="16">
        <v>192.1</v>
      </c>
    </row>
    <row r="69" spans="1:2" ht="15.6" x14ac:dyDescent="0.3">
      <c r="A69" s="10">
        <v>1974</v>
      </c>
      <c r="B69" s="16">
        <v>202.9</v>
      </c>
    </row>
    <row r="70" spans="1:2" ht="15.6" x14ac:dyDescent="0.3">
      <c r="A70" s="10">
        <v>1974.5</v>
      </c>
      <c r="B70" s="16">
        <v>213.7</v>
      </c>
    </row>
    <row r="71" spans="1:2" ht="15.6" x14ac:dyDescent="0.3">
      <c r="A71" s="10">
        <v>1975</v>
      </c>
      <c r="B71" s="16">
        <v>224</v>
      </c>
    </row>
    <row r="72" spans="1:2" ht="15.6" x14ac:dyDescent="0.3">
      <c r="A72" s="10">
        <v>1975.5</v>
      </c>
      <c r="B72" s="16">
        <v>234.3</v>
      </c>
    </row>
    <row r="73" spans="1:2" ht="15.6" x14ac:dyDescent="0.3">
      <c r="A73" s="10">
        <v>1976</v>
      </c>
      <c r="B73" s="16">
        <v>244.2</v>
      </c>
    </row>
    <row r="74" spans="1:2" ht="15.6" x14ac:dyDescent="0.3">
      <c r="A74" s="10">
        <v>1976.5</v>
      </c>
      <c r="B74" s="16">
        <v>254</v>
      </c>
    </row>
    <row r="75" spans="1:2" ht="15.6" x14ac:dyDescent="0.3">
      <c r="A75" s="10">
        <v>1977</v>
      </c>
      <c r="B75" s="16">
        <v>263.3</v>
      </c>
    </row>
    <row r="76" spans="1:2" ht="15.6" x14ac:dyDescent="0.3">
      <c r="A76" s="10">
        <v>1977.5</v>
      </c>
      <c r="B76" s="16">
        <v>272.5</v>
      </c>
    </row>
    <row r="77" spans="1:2" ht="15.6" x14ac:dyDescent="0.3">
      <c r="A77" s="10">
        <v>1978</v>
      </c>
      <c r="B77" s="16">
        <v>275.37099999999998</v>
      </c>
    </row>
    <row r="78" spans="1:2" ht="15.6" x14ac:dyDescent="0.3">
      <c r="A78" s="10">
        <v>1978.5</v>
      </c>
      <c r="B78" s="16">
        <v>284.625</v>
      </c>
    </row>
    <row r="79" spans="1:2" ht="15.6" x14ac:dyDescent="0.3">
      <c r="A79" s="10">
        <v>1979</v>
      </c>
      <c r="B79" s="16">
        <v>289.13200000000001</v>
      </c>
    </row>
    <row r="80" spans="1:2" ht="15.6" x14ac:dyDescent="0.3">
      <c r="A80" s="10">
        <v>1979.5</v>
      </c>
      <c r="B80" s="16">
        <v>294.5</v>
      </c>
    </row>
    <row r="81" spans="1:2" ht="15.6" x14ac:dyDescent="0.3">
      <c r="A81" s="10">
        <v>1980</v>
      </c>
      <c r="B81" s="16">
        <v>309.52100000000002</v>
      </c>
    </row>
    <row r="82" spans="1:2" ht="15.6" x14ac:dyDescent="0.3">
      <c r="A82" s="10">
        <v>1980.5</v>
      </c>
      <c r="B82" s="16">
        <v>313.73099999999999</v>
      </c>
    </row>
    <row r="83" spans="1:2" ht="15.6" x14ac:dyDescent="0.3">
      <c r="A83" s="10">
        <v>1981</v>
      </c>
      <c r="B83" s="16">
        <v>317.08300000000003</v>
      </c>
    </row>
    <row r="84" spans="1:2" ht="15.6" x14ac:dyDescent="0.3">
      <c r="A84" s="10">
        <v>1981.5</v>
      </c>
      <c r="B84" s="16">
        <v>329.79500000000002</v>
      </c>
    </row>
    <row r="85" spans="1:2" ht="15.6" x14ac:dyDescent="0.3">
      <c r="A85" s="10">
        <v>1982</v>
      </c>
      <c r="B85" s="16">
        <v>337.71699999999998</v>
      </c>
    </row>
    <row r="86" spans="1:2" ht="15.6" x14ac:dyDescent="0.3">
      <c r="A86" s="10">
        <v>1982.5</v>
      </c>
      <c r="B86" s="16">
        <v>342.36399999999998</v>
      </c>
    </row>
    <row r="87" spans="1:2" ht="15.6" x14ac:dyDescent="0.3">
      <c r="A87" s="10">
        <v>1983</v>
      </c>
      <c r="B87" s="16">
        <v>352.01600000000002</v>
      </c>
    </row>
    <row r="88" spans="1:2" ht="15.6" x14ac:dyDescent="0.3">
      <c r="A88" s="10">
        <v>1983.5</v>
      </c>
      <c r="B88" s="16">
        <v>359.505</v>
      </c>
    </row>
    <row r="89" spans="1:2" ht="15.6" x14ac:dyDescent="0.3">
      <c r="A89" s="10">
        <v>1984</v>
      </c>
      <c r="B89" s="16">
        <v>370.221</v>
      </c>
    </row>
    <row r="90" spans="1:2" ht="15.6" x14ac:dyDescent="0.3">
      <c r="A90" s="10">
        <v>1984.5</v>
      </c>
      <c r="B90" s="16">
        <v>375.55599999999998</v>
      </c>
    </row>
    <row r="91" spans="1:2" ht="15.6" x14ac:dyDescent="0.3">
      <c r="A91" s="10">
        <v>1985</v>
      </c>
      <c r="B91" s="16">
        <v>384.71199999999999</v>
      </c>
    </row>
    <row r="92" spans="1:2" ht="15.6" x14ac:dyDescent="0.3">
      <c r="A92" s="10">
        <v>1985.5</v>
      </c>
      <c r="B92" s="16">
        <v>388.18700000000001</v>
      </c>
    </row>
    <row r="93" spans="1:2" ht="15.6" x14ac:dyDescent="0.3">
      <c r="A93" s="10">
        <v>1986</v>
      </c>
      <c r="B93" s="16">
        <v>403.58499999999998</v>
      </c>
    </row>
    <row r="94" spans="1:2" ht="15.6" x14ac:dyDescent="0.3">
      <c r="A94" s="10">
        <v>1986.5</v>
      </c>
      <c r="B94" s="16">
        <v>408.161</v>
      </c>
    </row>
    <row r="95" spans="1:2" ht="15.6" x14ac:dyDescent="0.3">
      <c r="A95" s="10">
        <v>1987</v>
      </c>
      <c r="B95" s="16">
        <v>421.19400000000002</v>
      </c>
    </row>
    <row r="96" spans="1:2" ht="15.6" x14ac:dyDescent="0.3">
      <c r="A96" s="10">
        <v>1987.5</v>
      </c>
      <c r="B96" s="16">
        <v>427.56700000000001</v>
      </c>
    </row>
    <row r="97" spans="1:2" ht="15.6" x14ac:dyDescent="0.3">
      <c r="A97" s="10">
        <v>1988</v>
      </c>
      <c r="B97" s="16">
        <v>446.596</v>
      </c>
    </row>
    <row r="98" spans="1:2" ht="15.6" x14ac:dyDescent="0.3">
      <c r="A98" s="10">
        <v>1988.5</v>
      </c>
      <c r="B98" s="16">
        <v>456.565</v>
      </c>
    </row>
    <row r="99" spans="1:2" ht="15.6" x14ac:dyDescent="0.3">
      <c r="A99" s="10">
        <v>1989</v>
      </c>
      <c r="B99" s="16">
        <v>468.25700000000001</v>
      </c>
    </row>
    <row r="100" spans="1:2" ht="15.6" x14ac:dyDescent="0.3">
      <c r="A100" s="10">
        <v>1989.5</v>
      </c>
      <c r="B100" s="16">
        <v>474.38799999999998</v>
      </c>
    </row>
    <row r="101" spans="1:2" ht="15.6" x14ac:dyDescent="0.3">
      <c r="A101" s="10">
        <v>1990</v>
      </c>
      <c r="B101" s="16">
        <v>487.69900000000001</v>
      </c>
    </row>
    <row r="102" spans="1:2" ht="15.6" x14ac:dyDescent="0.3">
      <c r="A102" s="10">
        <v>1990.5</v>
      </c>
      <c r="B102" s="17">
        <v>489.95</v>
      </c>
    </row>
    <row r="103" spans="1:2" ht="15.6" x14ac:dyDescent="0.3">
      <c r="A103" s="10">
        <v>1991</v>
      </c>
      <c r="B103" s="17">
        <v>496.01100000000002</v>
      </c>
    </row>
    <row r="104" spans="1:2" ht="15.6" x14ac:dyDescent="0.3">
      <c r="A104" s="10">
        <v>1991.5</v>
      </c>
      <c r="B104" s="17">
        <v>500.52100000000002</v>
      </c>
    </row>
    <row r="105" spans="1:2" ht="15.6" x14ac:dyDescent="0.3">
      <c r="A105" s="10">
        <v>1992</v>
      </c>
      <c r="B105" s="17">
        <v>507.774</v>
      </c>
    </row>
    <row r="106" spans="1:2" ht="15.6" x14ac:dyDescent="0.3">
      <c r="A106" s="10">
        <v>1992.5</v>
      </c>
      <c r="B106" s="17">
        <v>512.70000000000005</v>
      </c>
    </row>
    <row r="107" spans="1:2" ht="15.6" x14ac:dyDescent="0.3">
      <c r="A107" s="10">
        <v>1993</v>
      </c>
      <c r="B107" s="17">
        <v>515.24300000000005</v>
      </c>
    </row>
    <row r="108" spans="1:2" ht="15.6" x14ac:dyDescent="0.3">
      <c r="A108" s="10">
        <v>1993.5</v>
      </c>
      <c r="B108" s="17">
        <v>517.77099999999996</v>
      </c>
    </row>
    <row r="109" spans="1:2" ht="15.6" x14ac:dyDescent="0.3">
      <c r="A109" s="10">
        <v>1994</v>
      </c>
      <c r="B109" s="17">
        <v>520</v>
      </c>
    </row>
    <row r="110" spans="1:2" ht="15.6" x14ac:dyDescent="0.3">
      <c r="A110" s="10">
        <v>1994.5</v>
      </c>
      <c r="B110" s="17">
        <v>520.95399999999995</v>
      </c>
    </row>
    <row r="111" spans="1:2" ht="15.6" x14ac:dyDescent="0.3">
      <c r="A111" s="10">
        <v>1995</v>
      </c>
      <c r="B111" s="17">
        <v>525.83399999999995</v>
      </c>
    </row>
    <row r="112" spans="1:2" ht="15.6" x14ac:dyDescent="0.3">
      <c r="A112" s="10">
        <v>1995.5</v>
      </c>
      <c r="B112" s="17">
        <v>527.36099999999999</v>
      </c>
    </row>
    <row r="113" spans="1:2" ht="15.6" x14ac:dyDescent="0.3">
      <c r="A113" s="10">
        <v>1996</v>
      </c>
      <c r="B113" s="17">
        <v>532.33000000000004</v>
      </c>
    </row>
    <row r="114" spans="1:2" ht="15.6" x14ac:dyDescent="0.3">
      <c r="A114" s="10">
        <v>1996.5</v>
      </c>
      <c r="B114" s="17">
        <v>532.23400000000004</v>
      </c>
    </row>
    <row r="115" spans="1:2" ht="15.6" x14ac:dyDescent="0.3">
      <c r="A115" s="10">
        <v>1997</v>
      </c>
      <c r="B115" s="17">
        <v>535.54999999999995</v>
      </c>
    </row>
    <row r="116" spans="1:2" ht="15.6" x14ac:dyDescent="0.3">
      <c r="A116" s="10">
        <v>1997.5</v>
      </c>
      <c r="B116" s="17">
        <v>535.36199999999997</v>
      </c>
    </row>
    <row r="117" spans="1:2" ht="15.6" x14ac:dyDescent="0.3">
      <c r="A117" s="10">
        <v>1998</v>
      </c>
      <c r="B117" s="17">
        <v>538.81600000000003</v>
      </c>
    </row>
    <row r="118" spans="1:2" ht="15.6" x14ac:dyDescent="0.3">
      <c r="A118" s="10">
        <v>1998.5</v>
      </c>
      <c r="B118" s="17">
        <v>539.48099999999999</v>
      </c>
    </row>
    <row r="119" spans="1:2" ht="15.6" x14ac:dyDescent="0.3">
      <c r="A119" s="10">
        <v>1999</v>
      </c>
      <c r="B119" s="17">
        <v>541.44399999999996</v>
      </c>
    </row>
    <row r="120" spans="1:2" ht="15.6" x14ac:dyDescent="0.3">
      <c r="A120" s="10">
        <v>1999.5</v>
      </c>
      <c r="B120" s="17">
        <v>541.60900000000004</v>
      </c>
    </row>
    <row r="121" spans="1:2" ht="15.6" x14ac:dyDescent="0.3">
      <c r="A121" s="10">
        <v>2000</v>
      </c>
      <c r="B121" s="17">
        <v>543.58199999999999</v>
      </c>
    </row>
    <row r="122" spans="1:2" ht="15.6" x14ac:dyDescent="0.3">
      <c r="A122" s="10">
        <v>2000.5</v>
      </c>
      <c r="B122" s="17">
        <v>544.48599999999999</v>
      </c>
    </row>
    <row r="123" spans="1:2" ht="15.6" x14ac:dyDescent="0.3">
      <c r="A123" s="10">
        <v>2001</v>
      </c>
      <c r="B123" s="17">
        <v>545.00699999999995</v>
      </c>
    </row>
    <row r="124" spans="1:2" ht="15.6" x14ac:dyDescent="0.3">
      <c r="A124" s="10">
        <v>2001.5</v>
      </c>
      <c r="B124" s="17">
        <v>544.66899999999998</v>
      </c>
    </row>
    <row r="125" spans="1:2" ht="15.6" x14ac:dyDescent="0.3">
      <c r="A125" s="10">
        <v>2002</v>
      </c>
      <c r="B125" s="18">
        <v>545.84100000000001</v>
      </c>
    </row>
    <row r="126" spans="1:2" ht="15.6" x14ac:dyDescent="0.3">
      <c r="A126" s="10">
        <v>2002.5</v>
      </c>
      <c r="B126" s="17">
        <v>545.19000000000005</v>
      </c>
    </row>
    <row r="127" spans="1:2" ht="15.6" x14ac:dyDescent="0.3">
      <c r="A127" s="10">
        <v>2003</v>
      </c>
      <c r="B127" s="17">
        <v>545.49699999999996</v>
      </c>
    </row>
    <row r="128" spans="1:2" ht="15.6" x14ac:dyDescent="0.3">
      <c r="A128" s="10">
        <v>2003.5</v>
      </c>
      <c r="B128" s="17">
        <v>544.22</v>
      </c>
    </row>
    <row r="129" spans="1:2" ht="15.6" x14ac:dyDescent="0.3">
      <c r="A129" s="10">
        <v>2004</v>
      </c>
      <c r="B129" s="17">
        <v>544.798</v>
      </c>
    </row>
    <row r="130" spans="1:2" ht="15.6" x14ac:dyDescent="0.3">
      <c r="A130" s="10">
        <v>2004.5</v>
      </c>
      <c r="B130" s="17">
        <v>544.02700000000004</v>
      </c>
    </row>
    <row r="131" spans="1:2" ht="15.6" x14ac:dyDescent="0.3">
      <c r="A131" s="10">
        <v>2005</v>
      </c>
      <c r="B131" s="17">
        <v>543.66300000000001</v>
      </c>
    </row>
    <row r="132" spans="1:2" ht="15.6" x14ac:dyDescent="0.3">
      <c r="A132" s="10">
        <v>2005.5</v>
      </c>
      <c r="B132" s="17">
        <v>542.82600000000002</v>
      </c>
    </row>
    <row r="133" spans="1:2" ht="15.6" x14ac:dyDescent="0.3">
      <c r="A133" s="10">
        <v>2006</v>
      </c>
      <c r="B133" s="17">
        <v>543.13499999999999</v>
      </c>
    </row>
    <row r="134" spans="1:2" ht="15.6" x14ac:dyDescent="0.3">
      <c r="A134" s="10">
        <v>2006.5</v>
      </c>
      <c r="B134" s="17">
        <v>541.50400000000002</v>
      </c>
    </row>
    <row r="135" spans="1:2" ht="15.6" x14ac:dyDescent="0.3">
      <c r="A135" s="10">
        <v>2007</v>
      </c>
      <c r="B135" s="17">
        <v>540.53700000000003</v>
      </c>
    </row>
    <row r="136" spans="1:2" ht="15.6" x14ac:dyDescent="0.3">
      <c r="A136" s="10">
        <v>2007.5</v>
      </c>
      <c r="B136" s="17">
        <v>538.79899999999998</v>
      </c>
    </row>
    <row r="137" spans="1:2" ht="15.6" x14ac:dyDescent="0.3">
      <c r="A137" s="10">
        <v>2008</v>
      </c>
      <c r="B137" s="17">
        <v>537.81799999999998</v>
      </c>
    </row>
    <row r="138" spans="1:2" ht="15.6" x14ac:dyDescent="0.3">
      <c r="A138" s="10">
        <v>2008.5</v>
      </c>
      <c r="B138" s="17">
        <v>536.21600000000001</v>
      </c>
    </row>
    <row r="139" spans="1:2" ht="15.6" x14ac:dyDescent="0.3">
      <c r="A139" s="10">
        <v>2009</v>
      </c>
      <c r="B139" s="17">
        <v>535.94000000000005</v>
      </c>
    </row>
    <row r="140" spans="1:2" ht="15.6" x14ac:dyDescent="0.3">
      <c r="A140" s="10">
        <v>2009.5</v>
      </c>
      <c r="B140" s="17">
        <v>533.76499999999999</v>
      </c>
    </row>
    <row r="141" spans="1:2" ht="15.6" x14ac:dyDescent="0.3">
      <c r="A141" s="10">
        <v>2010</v>
      </c>
      <c r="B141" s="17">
        <v>532.53800000000001</v>
      </c>
    </row>
    <row r="142" spans="1:2" ht="15.6" x14ac:dyDescent="0.3">
      <c r="A142" s="10">
        <v>2010.5</v>
      </c>
      <c r="B142" s="13">
        <v>530.94899999999996</v>
      </c>
    </row>
    <row r="143" spans="1:2" ht="15.6" x14ac:dyDescent="0.3">
      <c r="A143" s="10">
        <v>2011</v>
      </c>
      <c r="B143" s="13">
        <v>530.02300000000002</v>
      </c>
    </row>
    <row r="144" spans="1:2" ht="15.6" x14ac:dyDescent="0.3">
      <c r="A144" s="10">
        <v>2011.5</v>
      </c>
      <c r="B144" s="13">
        <v>528.36099999999999</v>
      </c>
    </row>
    <row r="145" spans="1:2" ht="15.6" x14ac:dyDescent="0.3">
      <c r="A145" s="10">
        <v>2012</v>
      </c>
      <c r="B145" s="13">
        <v>527.24199999999996</v>
      </c>
    </row>
    <row r="146" spans="1:2" ht="15.6" x14ac:dyDescent="0.3">
      <c r="A146" s="10">
        <v>2012.5</v>
      </c>
      <c r="B146" s="13">
        <v>525.06700000000001</v>
      </c>
    </row>
    <row r="147" spans="1:2" ht="15.6" x14ac:dyDescent="0.3">
      <c r="A147" s="10">
        <v>2013</v>
      </c>
      <c r="B147" s="13">
        <v>524.22799999999995</v>
      </c>
    </row>
    <row r="148" spans="1:2" ht="15.6" x14ac:dyDescent="0.3">
      <c r="A148" s="10">
        <v>2013.5</v>
      </c>
      <c r="B148" s="13">
        <v>522.78800000000001</v>
      </c>
    </row>
    <row r="149" spans="1:2" ht="15.6" x14ac:dyDescent="0.3">
      <c r="A149" s="10">
        <v>2014</v>
      </c>
      <c r="B149" s="13">
        <v>521.29999999999995</v>
      </c>
    </row>
    <row r="150" spans="1:2" ht="15.6" x14ac:dyDescent="0.3">
      <c r="A150" s="10">
        <v>2014.5</v>
      </c>
      <c r="B150" s="13">
        <v>520.1</v>
      </c>
    </row>
    <row r="151" spans="1:2" ht="15.6" x14ac:dyDescent="0.3">
      <c r="A151" s="10">
        <v>2015</v>
      </c>
      <c r="B151" s="13">
        <v>519.4</v>
      </c>
    </row>
    <row r="152" spans="1:2" ht="15.6" x14ac:dyDescent="0.3">
      <c r="A152" s="10">
        <v>2015.5</v>
      </c>
      <c r="B152" s="13">
        <v>517.4</v>
      </c>
    </row>
    <row r="153" spans="1:2" ht="15.6" x14ac:dyDescent="0.3">
      <c r="A153" s="10">
        <v>2016</v>
      </c>
      <c r="B153" s="13">
        <v>514</v>
      </c>
    </row>
    <row r="154" spans="1:2" ht="15.6" x14ac:dyDescent="0.3">
      <c r="A154" s="10">
        <v>2016.5</v>
      </c>
      <c r="B154" s="13">
        <v>511.44</v>
      </c>
    </row>
    <row r="155" spans="1:2" ht="16.2" thickBot="1" x14ac:dyDescent="0.35">
      <c r="A155" s="11">
        <v>2017</v>
      </c>
      <c r="B155" s="13">
        <v>510</v>
      </c>
    </row>
    <row r="156" spans="1:2" ht="15.6" x14ac:dyDescent="0.3">
      <c r="A156" s="10">
        <v>2017.5</v>
      </c>
      <c r="B156" s="13">
        <v>508.17</v>
      </c>
    </row>
    <row r="157" spans="1:2" ht="16.2" thickBot="1" x14ac:dyDescent="0.35">
      <c r="A157" s="11">
        <v>2018</v>
      </c>
      <c r="B157" s="13">
        <v>507</v>
      </c>
    </row>
    <row r="158" spans="1:2" ht="15.6" x14ac:dyDescent="0.3">
      <c r="A158" s="10">
        <v>2018.5</v>
      </c>
      <c r="B158" s="15">
        <v>504.7</v>
      </c>
    </row>
    <row r="159" spans="1:2" ht="16.2" thickBot="1" x14ac:dyDescent="0.35">
      <c r="A159" s="11">
        <v>2019</v>
      </c>
      <c r="B159" s="13">
        <v>503.19</v>
      </c>
    </row>
    <row r="160" spans="1:2" ht="15.6" x14ac:dyDescent="0.3">
      <c r="A160" s="10">
        <v>2019.5</v>
      </c>
      <c r="B160" s="13">
        <v>500.47</v>
      </c>
    </row>
    <row r="161" spans="1:2" ht="15.6" x14ac:dyDescent="0.3">
      <c r="A161" s="10">
        <v>2020</v>
      </c>
      <c r="B161" s="13">
        <v>498.73</v>
      </c>
    </row>
    <row r="162" spans="1:2" ht="16.2" thickBot="1" x14ac:dyDescent="0.35">
      <c r="A162" s="11">
        <v>2020.5</v>
      </c>
      <c r="B162" s="13">
        <v>496.67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D6A-450E-427C-BFC9-5B3B7CEDD89E}">
  <dimension ref="A1:B162"/>
  <sheetViews>
    <sheetView workbookViewId="0">
      <selection sqref="A1:XFD1"/>
    </sheetView>
  </sheetViews>
  <sheetFormatPr baseColWidth="10" defaultRowHeight="14.4" x14ac:dyDescent="0.3"/>
  <sheetData>
    <row r="1" spans="1:2" ht="15.6" x14ac:dyDescent="0.3">
      <c r="A1" s="9">
        <v>1940</v>
      </c>
      <c r="B1" s="16">
        <v>0</v>
      </c>
    </row>
    <row r="2" spans="1:2" ht="15.6" x14ac:dyDescent="0.3">
      <c r="A2" s="9">
        <v>1940.5</v>
      </c>
      <c r="B2" s="16">
        <v>0</v>
      </c>
    </row>
    <row r="3" spans="1:2" ht="15.6" x14ac:dyDescent="0.3">
      <c r="A3" s="9">
        <v>1941</v>
      </c>
      <c r="B3" s="16">
        <v>0</v>
      </c>
    </row>
    <row r="4" spans="1:2" ht="15.6" x14ac:dyDescent="0.3">
      <c r="A4" s="9">
        <v>1941.5</v>
      </c>
      <c r="B4" s="16">
        <v>0</v>
      </c>
    </row>
    <row r="5" spans="1:2" ht="15.6" x14ac:dyDescent="0.3">
      <c r="A5" s="9">
        <v>1942</v>
      </c>
      <c r="B5" s="16">
        <v>0</v>
      </c>
    </row>
    <row r="6" spans="1:2" ht="15.6" x14ac:dyDescent="0.3">
      <c r="A6" s="9">
        <v>1942.5</v>
      </c>
      <c r="B6" s="16">
        <v>0</v>
      </c>
    </row>
    <row r="7" spans="1:2" ht="15.6" x14ac:dyDescent="0.3">
      <c r="A7" s="9">
        <v>1943</v>
      </c>
      <c r="B7" s="16">
        <v>0</v>
      </c>
    </row>
    <row r="8" spans="1:2" ht="15.6" x14ac:dyDescent="0.3">
      <c r="A8" s="9">
        <v>1943.5</v>
      </c>
      <c r="B8" s="16">
        <v>0.01</v>
      </c>
    </row>
    <row r="9" spans="1:2" ht="15.6" x14ac:dyDescent="0.3">
      <c r="A9" s="9">
        <v>1944</v>
      </c>
      <c r="B9" s="16">
        <v>0.01</v>
      </c>
    </row>
    <row r="10" spans="1:2" ht="15.6" x14ac:dyDescent="0.3">
      <c r="A10" s="9">
        <v>1944.5</v>
      </c>
      <c r="B10" s="16">
        <v>0.03</v>
      </c>
    </row>
    <row r="11" spans="1:2" ht="15.6" x14ac:dyDescent="0.3">
      <c r="A11" s="9">
        <v>1945</v>
      </c>
      <c r="B11" s="16">
        <v>0.04</v>
      </c>
    </row>
    <row r="12" spans="1:2" ht="15.6" x14ac:dyDescent="0.3">
      <c r="A12" s="9">
        <v>1945.5</v>
      </c>
      <c r="B12" s="16">
        <v>0.06</v>
      </c>
    </row>
    <row r="13" spans="1:2" ht="15.6" x14ac:dyDescent="0.3">
      <c r="A13" s="9">
        <v>1946</v>
      </c>
      <c r="B13" s="16">
        <v>7.0000000000000007E-2</v>
      </c>
    </row>
    <row r="14" spans="1:2" ht="15.6" x14ac:dyDescent="0.3">
      <c r="A14" s="9">
        <v>1946.5</v>
      </c>
      <c r="B14" s="16">
        <v>0.09</v>
      </c>
    </row>
    <row r="15" spans="1:2" ht="15.6" x14ac:dyDescent="0.3">
      <c r="A15" s="9">
        <v>1947</v>
      </c>
      <c r="B15" s="16">
        <v>0.11</v>
      </c>
    </row>
    <row r="16" spans="1:2" ht="15.6" x14ac:dyDescent="0.3">
      <c r="A16" s="9">
        <v>1947.5</v>
      </c>
      <c r="B16" s="16">
        <v>0.13</v>
      </c>
    </row>
    <row r="17" spans="1:2" ht="15.6" x14ac:dyDescent="0.3">
      <c r="A17" s="10">
        <v>1948</v>
      </c>
      <c r="B17" s="16">
        <v>0.15</v>
      </c>
    </row>
    <row r="18" spans="1:2" ht="15.6" x14ac:dyDescent="0.3">
      <c r="A18" s="10">
        <v>1948.5</v>
      </c>
      <c r="B18" s="16">
        <v>0.17</v>
      </c>
    </row>
    <row r="19" spans="1:2" ht="15.6" x14ac:dyDescent="0.3">
      <c r="A19" s="10">
        <v>1949</v>
      </c>
      <c r="B19" s="16">
        <v>0.2</v>
      </c>
    </row>
    <row r="20" spans="1:2" ht="15.6" x14ac:dyDescent="0.3">
      <c r="A20" s="10">
        <v>1949.5</v>
      </c>
      <c r="B20" s="16">
        <v>0.22</v>
      </c>
    </row>
    <row r="21" spans="1:2" ht="15.6" x14ac:dyDescent="0.3">
      <c r="A21" s="10">
        <v>1950</v>
      </c>
      <c r="B21" s="16">
        <v>0.25</v>
      </c>
    </row>
    <row r="22" spans="1:2" ht="15.6" x14ac:dyDescent="0.3">
      <c r="A22" s="10">
        <v>1950.5</v>
      </c>
      <c r="B22" s="16">
        <v>0.28000000000000003</v>
      </c>
    </row>
    <row r="23" spans="1:2" ht="15.6" x14ac:dyDescent="0.3">
      <c r="A23" s="10">
        <v>1951</v>
      </c>
      <c r="B23" s="16">
        <v>0.31</v>
      </c>
    </row>
    <row r="24" spans="1:2" ht="15.6" x14ac:dyDescent="0.3">
      <c r="A24" s="10">
        <v>1951.5</v>
      </c>
      <c r="B24" s="16">
        <v>0.34</v>
      </c>
    </row>
    <row r="25" spans="1:2" ht="15.6" x14ac:dyDescent="0.3">
      <c r="A25" s="10">
        <v>1952</v>
      </c>
      <c r="B25" s="16">
        <v>0.37</v>
      </c>
    </row>
    <row r="26" spans="1:2" ht="15.6" x14ac:dyDescent="0.3">
      <c r="A26" s="10">
        <v>1952.5</v>
      </c>
      <c r="B26" s="16">
        <v>0.41</v>
      </c>
    </row>
    <row r="27" spans="1:2" ht="15.6" x14ac:dyDescent="0.3">
      <c r="A27" s="10">
        <v>1953</v>
      </c>
      <c r="B27" s="16">
        <v>0.44</v>
      </c>
    </row>
    <row r="28" spans="1:2" ht="15.6" x14ac:dyDescent="0.3">
      <c r="A28" s="10">
        <v>1953.5</v>
      </c>
      <c r="B28" s="16">
        <v>0.49</v>
      </c>
    </row>
    <row r="29" spans="1:2" ht="15.6" x14ac:dyDescent="0.3">
      <c r="A29" s="10">
        <v>1954</v>
      </c>
      <c r="B29" s="16">
        <v>0.53</v>
      </c>
    </row>
    <row r="30" spans="1:2" ht="15.6" x14ac:dyDescent="0.3">
      <c r="A30" s="10">
        <v>1954.5</v>
      </c>
      <c r="B30" s="16">
        <v>0.57999999999999996</v>
      </c>
    </row>
    <row r="31" spans="1:2" ht="15.6" x14ac:dyDescent="0.3">
      <c r="A31" s="10">
        <v>1955</v>
      </c>
      <c r="B31" s="16">
        <v>0.63</v>
      </c>
    </row>
    <row r="32" spans="1:2" ht="15.6" x14ac:dyDescent="0.3">
      <c r="A32" s="10">
        <v>1955.5</v>
      </c>
      <c r="B32" s="16">
        <v>0.69</v>
      </c>
    </row>
    <row r="33" spans="1:2" ht="15.6" x14ac:dyDescent="0.3">
      <c r="A33" s="10">
        <v>1956</v>
      </c>
      <c r="B33" s="16">
        <v>0.75</v>
      </c>
    </row>
    <row r="34" spans="1:2" ht="15.6" x14ac:dyDescent="0.3">
      <c r="A34" s="10">
        <v>1956.5</v>
      </c>
      <c r="B34" s="16">
        <v>0.81</v>
      </c>
    </row>
    <row r="35" spans="1:2" ht="15.6" x14ac:dyDescent="0.3">
      <c r="A35" s="10">
        <v>1957</v>
      </c>
      <c r="B35" s="16">
        <v>0.88</v>
      </c>
    </row>
    <row r="36" spans="1:2" ht="15.6" x14ac:dyDescent="0.3">
      <c r="A36" s="10">
        <v>1957.5</v>
      </c>
      <c r="B36" s="16">
        <v>0.95</v>
      </c>
    </row>
    <row r="37" spans="1:2" ht="15.6" x14ac:dyDescent="0.3">
      <c r="A37" s="10">
        <v>1958</v>
      </c>
      <c r="B37" s="16">
        <v>1.03</v>
      </c>
    </row>
    <row r="38" spans="1:2" ht="15.6" x14ac:dyDescent="0.3">
      <c r="A38" s="10">
        <v>1958.5</v>
      </c>
      <c r="B38" s="16">
        <v>1.1100000000000001</v>
      </c>
    </row>
    <row r="39" spans="1:2" ht="15.6" x14ac:dyDescent="0.3">
      <c r="A39" s="10">
        <v>1959</v>
      </c>
      <c r="B39" s="16">
        <v>1.19</v>
      </c>
    </row>
    <row r="40" spans="1:2" ht="15.6" x14ac:dyDescent="0.3">
      <c r="A40" s="10">
        <v>1959.5</v>
      </c>
      <c r="B40" s="16">
        <v>1.29</v>
      </c>
    </row>
    <row r="41" spans="1:2" ht="15.6" x14ac:dyDescent="0.3">
      <c r="A41" s="10">
        <v>1960</v>
      </c>
      <c r="B41" s="16">
        <v>1.39</v>
      </c>
    </row>
    <row r="42" spans="1:2" ht="15.6" x14ac:dyDescent="0.3">
      <c r="A42" s="10">
        <v>1960.5</v>
      </c>
      <c r="B42" s="16">
        <v>1.5</v>
      </c>
    </row>
    <row r="43" spans="1:2" ht="15.6" x14ac:dyDescent="0.3">
      <c r="A43" s="10">
        <v>1961</v>
      </c>
      <c r="B43" s="16">
        <v>1.61</v>
      </c>
    </row>
    <row r="44" spans="1:2" ht="15.6" x14ac:dyDescent="0.3">
      <c r="A44" s="10">
        <v>1961.5</v>
      </c>
      <c r="B44" s="16">
        <v>1.74</v>
      </c>
    </row>
    <row r="45" spans="1:2" ht="15.6" x14ac:dyDescent="0.3">
      <c r="A45" s="10">
        <v>1962</v>
      </c>
      <c r="B45" s="16">
        <v>1.86</v>
      </c>
    </row>
    <row r="46" spans="1:2" ht="15.6" x14ac:dyDescent="0.3">
      <c r="A46" s="10">
        <v>1962.5</v>
      </c>
      <c r="B46" s="16">
        <v>2</v>
      </c>
    </row>
    <row r="47" spans="1:2" ht="15.6" x14ac:dyDescent="0.3">
      <c r="A47" s="10">
        <v>1963</v>
      </c>
      <c r="B47" s="16">
        <v>2.15</v>
      </c>
    </row>
    <row r="48" spans="1:2" ht="15.6" x14ac:dyDescent="0.3">
      <c r="A48" s="10">
        <v>1963.5</v>
      </c>
      <c r="B48" s="16">
        <v>2.3199999999999998</v>
      </c>
    </row>
    <row r="49" spans="1:2" ht="15.6" x14ac:dyDescent="0.3">
      <c r="A49" s="10">
        <v>1964</v>
      </c>
      <c r="B49" s="16">
        <v>2.4900000000000002</v>
      </c>
    </row>
    <row r="50" spans="1:2" ht="15.6" x14ac:dyDescent="0.3">
      <c r="A50" s="10">
        <v>1964.5</v>
      </c>
      <c r="B50" s="16">
        <v>2.67</v>
      </c>
    </row>
    <row r="51" spans="1:2" ht="15.6" x14ac:dyDescent="0.3">
      <c r="A51" s="10">
        <v>1965</v>
      </c>
      <c r="B51" s="16">
        <v>2.86</v>
      </c>
    </row>
    <row r="52" spans="1:2" ht="15.6" x14ac:dyDescent="0.3">
      <c r="A52" s="10">
        <v>1965.5</v>
      </c>
      <c r="B52" s="16">
        <v>3.08</v>
      </c>
    </row>
    <row r="53" spans="1:2" ht="15.6" x14ac:dyDescent="0.3">
      <c r="A53" s="10">
        <v>1966</v>
      </c>
      <c r="B53" s="16">
        <v>3.29</v>
      </c>
    </row>
    <row r="54" spans="1:2" ht="15.6" x14ac:dyDescent="0.3">
      <c r="A54" s="10">
        <v>1966.5</v>
      </c>
      <c r="B54" s="16">
        <v>3.54</v>
      </c>
    </row>
    <row r="55" spans="1:2" ht="15.6" x14ac:dyDescent="0.3">
      <c r="A55" s="10">
        <v>1967</v>
      </c>
      <c r="B55" s="16">
        <v>3.79</v>
      </c>
    </row>
    <row r="56" spans="1:2" ht="15.6" x14ac:dyDescent="0.3">
      <c r="A56" s="10">
        <v>1967.5</v>
      </c>
      <c r="B56" s="16">
        <v>4.07</v>
      </c>
    </row>
    <row r="57" spans="1:2" ht="15.6" x14ac:dyDescent="0.3">
      <c r="A57" s="10">
        <v>1968</v>
      </c>
      <c r="B57" s="16">
        <v>4.3499999999999996</v>
      </c>
    </row>
    <row r="58" spans="1:2" ht="15.6" x14ac:dyDescent="0.3">
      <c r="A58" s="10">
        <v>1968.5</v>
      </c>
      <c r="B58" s="16">
        <v>4.67</v>
      </c>
    </row>
    <row r="59" spans="1:2" ht="15.6" x14ac:dyDescent="0.3">
      <c r="A59" s="10">
        <v>1969</v>
      </c>
      <c r="B59" s="16">
        <v>5</v>
      </c>
    </row>
    <row r="60" spans="1:2" ht="15.6" x14ac:dyDescent="0.3">
      <c r="A60" s="10">
        <v>1969.5</v>
      </c>
      <c r="B60" s="16">
        <v>5.37</v>
      </c>
    </row>
    <row r="61" spans="1:2" ht="15.6" x14ac:dyDescent="0.3">
      <c r="A61" s="10">
        <v>1970</v>
      </c>
      <c r="B61" s="16">
        <v>5.75</v>
      </c>
    </row>
    <row r="62" spans="1:2" ht="15.6" x14ac:dyDescent="0.3">
      <c r="A62" s="10">
        <v>1970.5</v>
      </c>
      <c r="B62" s="16">
        <v>6.17</v>
      </c>
    </row>
    <row r="63" spans="1:2" ht="15.6" x14ac:dyDescent="0.3">
      <c r="A63" s="10">
        <v>1971</v>
      </c>
      <c r="B63" s="16">
        <v>6.6</v>
      </c>
    </row>
    <row r="64" spans="1:2" ht="15.6" x14ac:dyDescent="0.3">
      <c r="A64" s="10">
        <v>1971.5</v>
      </c>
      <c r="B64" s="16">
        <v>7.08</v>
      </c>
    </row>
    <row r="65" spans="1:2" ht="15.6" x14ac:dyDescent="0.3">
      <c r="A65" s="10">
        <v>1972</v>
      </c>
      <c r="B65" s="16">
        <v>7.57</v>
      </c>
    </row>
    <row r="66" spans="1:2" ht="15.6" x14ac:dyDescent="0.3">
      <c r="A66" s="10">
        <v>1972.5</v>
      </c>
      <c r="B66" s="16">
        <v>8.14</v>
      </c>
    </row>
    <row r="67" spans="1:2" ht="15.6" x14ac:dyDescent="0.3">
      <c r="A67" s="10">
        <v>1973</v>
      </c>
      <c r="B67" s="16">
        <v>8.69</v>
      </c>
    </row>
    <row r="68" spans="1:2" ht="15.6" x14ac:dyDescent="0.3">
      <c r="A68" s="10">
        <v>1973.5</v>
      </c>
      <c r="B68" s="16">
        <v>9.33</v>
      </c>
    </row>
    <row r="69" spans="1:2" ht="15.6" x14ac:dyDescent="0.3">
      <c r="A69" s="10">
        <v>1974</v>
      </c>
      <c r="B69" s="16">
        <v>9.9700000000000006</v>
      </c>
    </row>
    <row r="70" spans="1:2" ht="15.6" x14ac:dyDescent="0.3">
      <c r="A70" s="10">
        <v>1974.5</v>
      </c>
      <c r="B70" s="16">
        <v>10.7</v>
      </c>
    </row>
    <row r="71" spans="1:2" ht="15.6" x14ac:dyDescent="0.3">
      <c r="A71" s="10">
        <v>1975</v>
      </c>
      <c r="B71" s="16">
        <v>11.4</v>
      </c>
    </row>
    <row r="72" spans="1:2" ht="15.6" x14ac:dyDescent="0.3">
      <c r="A72" s="10">
        <v>1975.5</v>
      </c>
      <c r="B72" s="16">
        <v>12.3</v>
      </c>
    </row>
    <row r="73" spans="1:2" ht="15.6" x14ac:dyDescent="0.3">
      <c r="A73" s="10">
        <v>1976</v>
      </c>
      <c r="B73" s="16">
        <v>13.1</v>
      </c>
    </row>
    <row r="74" spans="1:2" ht="15.6" x14ac:dyDescent="0.3">
      <c r="A74" s="10">
        <v>1976.5</v>
      </c>
      <c r="B74" s="16">
        <v>14.1</v>
      </c>
    </row>
    <row r="75" spans="1:2" ht="15.6" x14ac:dyDescent="0.3">
      <c r="A75" s="10">
        <v>1977</v>
      </c>
      <c r="B75" s="16">
        <v>15</v>
      </c>
    </row>
    <row r="76" spans="1:2" ht="15.6" x14ac:dyDescent="0.3">
      <c r="A76" s="10">
        <v>1977.5</v>
      </c>
      <c r="B76" s="16">
        <v>16.2</v>
      </c>
    </row>
    <row r="77" spans="1:2" ht="15.6" x14ac:dyDescent="0.3">
      <c r="A77" s="10">
        <v>1978</v>
      </c>
      <c r="B77" s="16">
        <v>17.3</v>
      </c>
    </row>
    <row r="78" spans="1:2" ht="15.6" x14ac:dyDescent="0.3">
      <c r="A78" s="10">
        <v>1978.5</v>
      </c>
      <c r="B78" s="16">
        <v>18.5</v>
      </c>
    </row>
    <row r="79" spans="1:2" ht="15.6" x14ac:dyDescent="0.3">
      <c r="A79" s="10">
        <v>1979</v>
      </c>
      <c r="B79" s="16">
        <v>19.8</v>
      </c>
    </row>
    <row r="80" spans="1:2" ht="15.6" x14ac:dyDescent="0.3">
      <c r="A80" s="10">
        <v>1979.5</v>
      </c>
      <c r="B80" s="16">
        <v>21.2</v>
      </c>
    </row>
    <row r="81" spans="1:2" ht="15.6" x14ac:dyDescent="0.3">
      <c r="A81" s="10">
        <v>1980</v>
      </c>
      <c r="B81" s="16">
        <v>22.7</v>
      </c>
    </row>
    <row r="82" spans="1:2" ht="15.6" x14ac:dyDescent="0.3">
      <c r="A82" s="10">
        <v>1980.5</v>
      </c>
      <c r="B82" s="16">
        <v>24.3</v>
      </c>
    </row>
    <row r="83" spans="1:2" ht="15.6" x14ac:dyDescent="0.3">
      <c r="A83" s="10">
        <v>1981</v>
      </c>
      <c r="B83" s="16">
        <v>25.8</v>
      </c>
    </row>
    <row r="84" spans="1:2" ht="15.6" x14ac:dyDescent="0.3">
      <c r="A84" s="10">
        <v>1981.5</v>
      </c>
      <c r="B84" s="16">
        <v>27.5</v>
      </c>
    </row>
    <row r="85" spans="1:2" ht="15.6" x14ac:dyDescent="0.3">
      <c r="A85" s="10">
        <v>1982</v>
      </c>
      <c r="B85" s="16">
        <v>29.1</v>
      </c>
    </row>
    <row r="86" spans="1:2" ht="15.6" x14ac:dyDescent="0.3">
      <c r="A86" s="10">
        <v>1982.5</v>
      </c>
      <c r="B86" s="16">
        <v>30.9</v>
      </c>
    </row>
    <row r="87" spans="1:2" ht="15.6" x14ac:dyDescent="0.3">
      <c r="A87" s="10">
        <v>1983</v>
      </c>
      <c r="B87" s="16">
        <v>32.700000000000003</v>
      </c>
    </row>
    <row r="88" spans="1:2" ht="15.6" x14ac:dyDescent="0.3">
      <c r="A88" s="10">
        <v>1983.5</v>
      </c>
      <c r="B88" s="16">
        <v>34.9</v>
      </c>
    </row>
    <row r="89" spans="1:2" ht="15.6" x14ac:dyDescent="0.3">
      <c r="A89" s="10">
        <v>1984</v>
      </c>
      <c r="B89" s="16">
        <v>37.200000000000003</v>
      </c>
    </row>
    <row r="90" spans="1:2" ht="15.6" x14ac:dyDescent="0.3">
      <c r="A90" s="10">
        <v>1984.5</v>
      </c>
      <c r="B90" s="16">
        <v>39.9</v>
      </c>
    </row>
    <row r="91" spans="1:2" ht="15.6" x14ac:dyDescent="0.3">
      <c r="A91" s="10">
        <v>1985</v>
      </c>
      <c r="B91" s="16">
        <v>42.5</v>
      </c>
    </row>
    <row r="92" spans="1:2" ht="15.6" x14ac:dyDescent="0.3">
      <c r="A92" s="10">
        <v>1985.5</v>
      </c>
      <c r="B92" s="16">
        <v>45.4</v>
      </c>
    </row>
    <row r="93" spans="1:2" ht="15.6" x14ac:dyDescent="0.3">
      <c r="A93" s="10">
        <v>1986</v>
      </c>
      <c r="B93" s="16">
        <v>48.2</v>
      </c>
    </row>
    <row r="94" spans="1:2" ht="15.6" x14ac:dyDescent="0.3">
      <c r="A94" s="10">
        <v>1986.5</v>
      </c>
      <c r="B94" s="16">
        <v>51.3</v>
      </c>
    </row>
    <row r="95" spans="1:2" ht="15.6" x14ac:dyDescent="0.3">
      <c r="A95" s="10">
        <v>1987</v>
      </c>
      <c r="B95" s="16">
        <v>54.5</v>
      </c>
    </row>
    <row r="96" spans="1:2" ht="15.6" x14ac:dyDescent="0.3">
      <c r="A96" s="10">
        <v>1987.5</v>
      </c>
      <c r="B96" s="16">
        <v>58</v>
      </c>
    </row>
    <row r="97" spans="1:2" ht="15.6" x14ac:dyDescent="0.3">
      <c r="A97" s="10">
        <v>1988</v>
      </c>
      <c r="B97" s="16">
        <v>61.5</v>
      </c>
    </row>
    <row r="98" spans="1:2" ht="15.6" x14ac:dyDescent="0.3">
      <c r="A98" s="10">
        <v>1988.5</v>
      </c>
      <c r="B98" s="16">
        <v>65.099999999999994</v>
      </c>
    </row>
    <row r="99" spans="1:2" ht="15.6" x14ac:dyDescent="0.3">
      <c r="A99" s="10">
        <v>1989</v>
      </c>
      <c r="B99" s="16">
        <v>68.8</v>
      </c>
    </row>
    <row r="100" spans="1:2" ht="15.6" x14ac:dyDescent="0.3">
      <c r="A100" s="10">
        <v>1989.5</v>
      </c>
      <c r="B100" s="16">
        <v>71.8</v>
      </c>
    </row>
    <row r="101" spans="1:2" ht="15.6" x14ac:dyDescent="0.3">
      <c r="A101" s="10">
        <v>1990</v>
      </c>
      <c r="B101" s="16">
        <v>74.8</v>
      </c>
    </row>
    <row r="102" spans="1:2" ht="15.6" x14ac:dyDescent="0.3">
      <c r="A102" s="10">
        <v>1990.5</v>
      </c>
      <c r="B102" s="17">
        <v>77</v>
      </c>
    </row>
    <row r="103" spans="1:2" ht="15.6" x14ac:dyDescent="0.3">
      <c r="A103" s="10">
        <v>1991</v>
      </c>
      <c r="B103" s="17">
        <v>79.099999999999994</v>
      </c>
    </row>
    <row r="104" spans="1:2" ht="15.6" x14ac:dyDescent="0.3">
      <c r="A104" s="10">
        <v>1991.5</v>
      </c>
      <c r="B104" s="17">
        <v>80.599999999999994</v>
      </c>
    </row>
    <row r="105" spans="1:2" ht="15.6" x14ac:dyDescent="0.3">
      <c r="A105" s="10">
        <v>1992</v>
      </c>
      <c r="B105" s="17">
        <v>81.900000000000006</v>
      </c>
    </row>
    <row r="106" spans="1:2" ht="15.6" x14ac:dyDescent="0.3">
      <c r="A106" s="10">
        <v>1992.5</v>
      </c>
      <c r="B106" s="17">
        <v>83.108999999999995</v>
      </c>
    </row>
    <row r="107" spans="1:2" ht="15.6" x14ac:dyDescent="0.3">
      <c r="A107" s="10">
        <v>1993</v>
      </c>
      <c r="B107" s="17">
        <v>83.227999999999994</v>
      </c>
    </row>
    <row r="108" spans="1:2" ht="15.6" x14ac:dyDescent="0.3">
      <c r="A108" s="10">
        <v>1993.5</v>
      </c>
      <c r="B108" s="17">
        <v>83.480999999999995</v>
      </c>
    </row>
    <row r="109" spans="1:2" ht="15.6" x14ac:dyDescent="0.3">
      <c r="A109" s="10">
        <v>1994</v>
      </c>
      <c r="B109" s="17">
        <v>84.025999999999996</v>
      </c>
    </row>
    <row r="110" spans="1:2" ht="15.6" x14ac:dyDescent="0.3">
      <c r="A110" s="10">
        <v>1994.5</v>
      </c>
      <c r="B110" s="18">
        <v>84.537999999999997</v>
      </c>
    </row>
    <row r="111" spans="1:2" ht="15.6" x14ac:dyDescent="0.3">
      <c r="A111" s="10">
        <v>1995</v>
      </c>
      <c r="B111" s="18">
        <v>84.554000000000002</v>
      </c>
    </row>
    <row r="112" spans="1:2" ht="15.6" x14ac:dyDescent="0.3">
      <c r="A112" s="10">
        <v>1995.5</v>
      </c>
      <c r="B112" s="18">
        <v>84.542000000000002</v>
      </c>
    </row>
    <row r="113" spans="1:2" ht="15.6" x14ac:dyDescent="0.3">
      <c r="A113" s="10">
        <v>1996</v>
      </c>
      <c r="B113" s="18">
        <v>84.543000000000006</v>
      </c>
    </row>
    <row r="114" spans="1:2" ht="15.6" x14ac:dyDescent="0.3">
      <c r="A114" s="10">
        <v>1996.5</v>
      </c>
      <c r="B114" s="18">
        <v>84.512</v>
      </c>
    </row>
    <row r="115" spans="1:2" ht="15.6" x14ac:dyDescent="0.3">
      <c r="A115" s="10">
        <v>1997</v>
      </c>
      <c r="B115" s="17">
        <v>84.293999999999997</v>
      </c>
    </row>
    <row r="116" spans="1:2" ht="15.6" x14ac:dyDescent="0.3">
      <c r="A116" s="10">
        <v>1997.5</v>
      </c>
      <c r="B116" s="17">
        <v>84.039000000000001</v>
      </c>
    </row>
    <row r="117" spans="1:2" ht="15.6" x14ac:dyDescent="0.3">
      <c r="A117" s="10">
        <v>1998</v>
      </c>
      <c r="B117" s="17">
        <v>83.900999999999996</v>
      </c>
    </row>
    <row r="118" spans="1:2" ht="15.6" x14ac:dyDescent="0.3">
      <c r="A118" s="10">
        <v>1998.5</v>
      </c>
      <c r="B118" s="17">
        <v>83.388999999999996</v>
      </c>
    </row>
    <row r="119" spans="1:2" ht="15.6" x14ac:dyDescent="0.3">
      <c r="A119" s="10">
        <v>1999</v>
      </c>
      <c r="B119" s="17">
        <v>83.15</v>
      </c>
    </row>
    <row r="120" spans="1:2" ht="15.6" x14ac:dyDescent="0.3">
      <c r="A120" s="10">
        <v>1999.5</v>
      </c>
      <c r="B120" s="17">
        <v>82.754000000000005</v>
      </c>
    </row>
    <row r="121" spans="1:2" ht="15.6" x14ac:dyDescent="0.3">
      <c r="A121" s="10">
        <v>2000</v>
      </c>
      <c r="B121" s="17">
        <v>82.650999999999996</v>
      </c>
    </row>
    <row r="122" spans="1:2" ht="15.6" x14ac:dyDescent="0.3">
      <c r="A122" s="10">
        <v>2000.5</v>
      </c>
      <c r="B122" s="17">
        <v>82.32</v>
      </c>
    </row>
    <row r="123" spans="1:2" ht="15.6" x14ac:dyDescent="0.3">
      <c r="A123" s="10">
        <v>2001</v>
      </c>
      <c r="B123" s="17">
        <v>82.057000000000002</v>
      </c>
    </row>
    <row r="124" spans="1:2" ht="15.6" x14ac:dyDescent="0.3">
      <c r="A124" s="10">
        <v>2001.5</v>
      </c>
      <c r="B124" s="17">
        <v>81.692999999999998</v>
      </c>
    </row>
    <row r="125" spans="1:2" ht="15.6" x14ac:dyDescent="0.3">
      <c r="A125" s="10">
        <v>2002</v>
      </c>
      <c r="B125" s="17">
        <v>81.396000000000001</v>
      </c>
    </row>
    <row r="126" spans="1:2" ht="15.6" x14ac:dyDescent="0.3">
      <c r="A126" s="10">
        <v>2002.5</v>
      </c>
      <c r="B126" s="17">
        <v>80.977000000000004</v>
      </c>
    </row>
    <row r="127" spans="1:2" ht="15.6" x14ac:dyDescent="0.3">
      <c r="A127" s="10">
        <v>2003</v>
      </c>
      <c r="B127" s="17">
        <v>80.742000000000004</v>
      </c>
    </row>
    <row r="128" spans="1:2" ht="15.6" x14ac:dyDescent="0.3">
      <c r="A128" s="10">
        <v>2003.5</v>
      </c>
      <c r="B128" s="17">
        <v>80.153999999999996</v>
      </c>
    </row>
    <row r="129" spans="1:2" ht="15.6" x14ac:dyDescent="0.3">
      <c r="A129" s="10">
        <v>2004</v>
      </c>
      <c r="B129" s="17">
        <v>79.971000000000004</v>
      </c>
    </row>
    <row r="130" spans="1:2" ht="15.6" x14ac:dyDescent="0.3">
      <c r="A130" s="10">
        <v>2004.5</v>
      </c>
      <c r="B130" s="17">
        <v>79.447999999999993</v>
      </c>
    </row>
    <row r="131" spans="1:2" ht="15.6" x14ac:dyDescent="0.3">
      <c r="A131" s="10">
        <v>2005</v>
      </c>
      <c r="B131" s="17">
        <v>79.245999999999995</v>
      </c>
    </row>
    <row r="132" spans="1:2" ht="15.6" x14ac:dyDescent="0.3">
      <c r="A132" s="10">
        <v>2005.5</v>
      </c>
      <c r="B132" s="17">
        <v>79.007000000000005</v>
      </c>
    </row>
    <row r="133" spans="1:2" ht="15.6" x14ac:dyDescent="0.3">
      <c r="A133" s="10">
        <v>2006</v>
      </c>
      <c r="B133" s="17">
        <v>78.519000000000005</v>
      </c>
    </row>
    <row r="134" spans="1:2" ht="15.6" x14ac:dyDescent="0.3">
      <c r="A134" s="10">
        <v>2006.5</v>
      </c>
      <c r="B134" s="17">
        <v>78.218999999999994</v>
      </c>
    </row>
    <row r="135" spans="1:2" ht="15.6" x14ac:dyDescent="0.3">
      <c r="A135" s="10">
        <v>2007</v>
      </c>
      <c r="B135" s="17">
        <v>77.864000000000004</v>
      </c>
    </row>
    <row r="136" spans="1:2" ht="15.6" x14ac:dyDescent="0.3">
      <c r="A136" s="10">
        <v>2007.5</v>
      </c>
      <c r="B136" s="17">
        <v>77.465999999999994</v>
      </c>
    </row>
    <row r="137" spans="1:2" ht="15.6" x14ac:dyDescent="0.3">
      <c r="A137" s="10">
        <v>2008</v>
      </c>
      <c r="B137" s="17">
        <v>76.948999999999998</v>
      </c>
    </row>
    <row r="138" spans="1:2" ht="15.6" x14ac:dyDescent="0.3">
      <c r="A138" s="10">
        <v>2008.5</v>
      </c>
      <c r="B138" s="17">
        <v>76.492999999999995</v>
      </c>
    </row>
    <row r="139" spans="1:2" ht="15.6" x14ac:dyDescent="0.3">
      <c r="A139" s="10">
        <v>2009</v>
      </c>
      <c r="B139" s="17">
        <v>76.263999999999996</v>
      </c>
    </row>
    <row r="140" spans="1:2" ht="15.6" x14ac:dyDescent="0.3">
      <c r="A140" s="10">
        <v>2009.5</v>
      </c>
      <c r="B140" s="17">
        <v>75.912999999999997</v>
      </c>
    </row>
    <row r="141" spans="1:2" ht="15.6" x14ac:dyDescent="0.3">
      <c r="A141" s="10">
        <v>2010</v>
      </c>
      <c r="B141" s="17">
        <v>75.594999999999999</v>
      </c>
    </row>
    <row r="142" spans="1:2" ht="15.6" x14ac:dyDescent="0.3">
      <c r="A142" s="10">
        <v>2010.5</v>
      </c>
      <c r="B142" s="13">
        <v>75.153000000000006</v>
      </c>
    </row>
    <row r="143" spans="1:2" ht="15.6" x14ac:dyDescent="0.3">
      <c r="A143" s="10">
        <v>2011</v>
      </c>
      <c r="B143" s="13">
        <v>74.953000000000003</v>
      </c>
    </row>
    <row r="144" spans="1:2" ht="15.6" x14ac:dyDescent="0.3">
      <c r="A144" s="10">
        <v>2011.5</v>
      </c>
      <c r="B144" s="13">
        <v>74.453999999999994</v>
      </c>
    </row>
    <row r="145" spans="1:2" ht="15.6" x14ac:dyDescent="0.3">
      <c r="A145" s="10">
        <v>2012</v>
      </c>
      <c r="B145" s="13">
        <v>74.272999999999996</v>
      </c>
    </row>
    <row r="146" spans="1:2" ht="15.6" x14ac:dyDescent="0.3">
      <c r="A146" s="10">
        <v>2012.5</v>
      </c>
      <c r="B146" s="13">
        <v>73.775000000000006</v>
      </c>
    </row>
    <row r="147" spans="1:2" ht="15.6" x14ac:dyDescent="0.3">
      <c r="A147" s="10">
        <v>2013</v>
      </c>
      <c r="B147" s="13">
        <v>73.691000000000003</v>
      </c>
    </row>
    <row r="148" spans="1:2" ht="15.6" x14ac:dyDescent="0.3">
      <c r="A148" s="10">
        <v>2013.5</v>
      </c>
      <c r="B148" s="13">
        <v>73.161000000000001</v>
      </c>
    </row>
    <row r="149" spans="1:2" ht="15.6" x14ac:dyDescent="0.3">
      <c r="A149" s="10">
        <v>2014</v>
      </c>
      <c r="B149" s="13">
        <v>72.8</v>
      </c>
    </row>
    <row r="150" spans="1:2" ht="15.6" x14ac:dyDescent="0.3">
      <c r="A150" s="10">
        <v>2014.5</v>
      </c>
      <c r="B150" s="13">
        <v>72.400000000000006</v>
      </c>
    </row>
    <row r="151" spans="1:2" ht="15.6" x14ac:dyDescent="0.3">
      <c r="A151" s="10">
        <v>2015</v>
      </c>
      <c r="B151" s="13">
        <v>72.3</v>
      </c>
    </row>
    <row r="152" spans="1:2" ht="15.6" x14ac:dyDescent="0.3">
      <c r="A152" s="10">
        <v>2015.5</v>
      </c>
      <c r="B152" s="13">
        <v>71.900000000000006</v>
      </c>
    </row>
    <row r="153" spans="1:2" ht="15.6" x14ac:dyDescent="0.3">
      <c r="A153" s="10">
        <v>2016</v>
      </c>
      <c r="B153" s="13">
        <v>71.7</v>
      </c>
    </row>
    <row r="154" spans="1:2" ht="15.6" x14ac:dyDescent="0.3">
      <c r="A154" s="10">
        <v>2016.5</v>
      </c>
      <c r="B154" s="13">
        <v>71.3</v>
      </c>
    </row>
    <row r="155" spans="1:2" ht="16.2" thickBot="1" x14ac:dyDescent="0.35">
      <c r="A155" s="11">
        <v>2017</v>
      </c>
      <c r="B155" s="13">
        <v>71.12</v>
      </c>
    </row>
    <row r="156" spans="1:2" ht="15.6" x14ac:dyDescent="0.3">
      <c r="A156" s="10">
        <v>2017.5</v>
      </c>
      <c r="B156" s="13">
        <v>70.77</v>
      </c>
    </row>
    <row r="157" spans="1:2" ht="16.2" thickBot="1" x14ac:dyDescent="0.35">
      <c r="A157" s="11">
        <v>2018</v>
      </c>
      <c r="B157" s="13">
        <v>70.569999999999993</v>
      </c>
    </row>
    <row r="158" spans="1:2" ht="15.6" x14ac:dyDescent="0.3">
      <c r="A158" s="10">
        <v>2018.5</v>
      </c>
      <c r="B158" s="15">
        <v>70.11</v>
      </c>
    </row>
    <row r="159" spans="1:2" ht="16.2" thickBot="1" x14ac:dyDescent="0.35">
      <c r="A159" s="11">
        <v>2019</v>
      </c>
      <c r="B159" s="13">
        <v>69.87</v>
      </c>
    </row>
    <row r="160" spans="1:2" ht="15.6" x14ac:dyDescent="0.3">
      <c r="A160" s="10">
        <v>2019.5</v>
      </c>
      <c r="B160" s="13">
        <v>69.41</v>
      </c>
    </row>
    <row r="161" spans="1:2" ht="15.6" x14ac:dyDescent="0.3">
      <c r="A161" s="10">
        <v>2020</v>
      </c>
      <c r="B161" s="15">
        <v>69.17</v>
      </c>
    </row>
    <row r="162" spans="1:2" ht="16.2" thickBot="1" x14ac:dyDescent="0.35">
      <c r="A162" s="11">
        <v>2020.5</v>
      </c>
      <c r="B162" s="13">
        <v>68.87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4776-C78C-4F3E-9974-ABF6BFD61F63}">
  <dimension ref="A1:B162"/>
  <sheetViews>
    <sheetView tabSelected="1" workbookViewId="0">
      <selection activeCell="D15" sqref="D15"/>
    </sheetView>
  </sheetViews>
  <sheetFormatPr baseColWidth="10" defaultRowHeight="14.4" x14ac:dyDescent="0.3"/>
  <sheetData>
    <row r="1" spans="1:2" ht="15.6" x14ac:dyDescent="0.3">
      <c r="A1" s="9">
        <v>1940</v>
      </c>
      <c r="B1" s="16">
        <v>0.05</v>
      </c>
    </row>
    <row r="2" spans="1:2" ht="15.6" x14ac:dyDescent="0.3">
      <c r="A2" s="9">
        <v>1940.5</v>
      </c>
      <c r="B2" s="16">
        <v>0.05</v>
      </c>
    </row>
    <row r="3" spans="1:2" ht="15.6" x14ac:dyDescent="0.3">
      <c r="A3" s="9">
        <v>1941</v>
      </c>
      <c r="B3" s="16">
        <v>0.05</v>
      </c>
    </row>
    <row r="4" spans="1:2" ht="15.6" x14ac:dyDescent="0.3">
      <c r="A4" s="9">
        <v>1941.5</v>
      </c>
      <c r="B4" s="16">
        <v>0.05</v>
      </c>
    </row>
    <row r="5" spans="1:2" ht="15.6" x14ac:dyDescent="0.3">
      <c r="A5" s="9">
        <v>1942</v>
      </c>
      <c r="B5" s="16">
        <v>0.05</v>
      </c>
    </row>
    <row r="6" spans="1:2" ht="15.6" x14ac:dyDescent="0.3">
      <c r="A6" s="9">
        <v>1942.5</v>
      </c>
      <c r="B6" s="16">
        <v>0.05</v>
      </c>
    </row>
    <row r="7" spans="1:2" ht="15.6" x14ac:dyDescent="0.3">
      <c r="A7" s="9">
        <v>1943</v>
      </c>
      <c r="B7" s="16">
        <v>0.05</v>
      </c>
    </row>
    <row r="8" spans="1:2" ht="15.6" x14ac:dyDescent="0.3">
      <c r="A8" s="9">
        <v>1943.5</v>
      </c>
      <c r="B8" s="16">
        <v>0.05</v>
      </c>
    </row>
    <row r="9" spans="1:2" ht="15.6" x14ac:dyDescent="0.3">
      <c r="A9" s="9">
        <v>1944</v>
      </c>
      <c r="B9" s="16">
        <v>0.05</v>
      </c>
    </row>
    <row r="10" spans="1:2" ht="15.6" x14ac:dyDescent="0.3">
      <c r="A10" s="9">
        <v>1944.5</v>
      </c>
      <c r="B10" s="16">
        <v>0.05</v>
      </c>
    </row>
    <row r="11" spans="1:2" ht="15.6" x14ac:dyDescent="0.3">
      <c r="A11" s="9">
        <v>1945</v>
      </c>
      <c r="B11" s="16">
        <v>0.05</v>
      </c>
    </row>
    <row r="12" spans="1:2" ht="15.6" x14ac:dyDescent="0.3">
      <c r="A12" s="9">
        <v>1945.5</v>
      </c>
      <c r="B12" s="16">
        <v>0.05</v>
      </c>
    </row>
    <row r="13" spans="1:2" ht="15.6" x14ac:dyDescent="0.3">
      <c r="A13" s="9">
        <v>1946</v>
      </c>
      <c r="B13" s="16">
        <v>0.05</v>
      </c>
    </row>
    <row r="14" spans="1:2" ht="15.6" x14ac:dyDescent="0.3">
      <c r="A14" s="9">
        <v>1946.5</v>
      </c>
      <c r="B14" s="16">
        <v>0.05</v>
      </c>
    </row>
    <row r="15" spans="1:2" ht="15.6" x14ac:dyDescent="0.3">
      <c r="A15" s="9">
        <v>1947</v>
      </c>
      <c r="B15" s="16">
        <v>0.05</v>
      </c>
    </row>
    <row r="16" spans="1:2" ht="15.6" x14ac:dyDescent="0.3">
      <c r="A16" s="9">
        <v>1947.5</v>
      </c>
      <c r="B16" s="16">
        <v>0.05</v>
      </c>
    </row>
    <row r="17" spans="1:2" ht="15.6" x14ac:dyDescent="0.3">
      <c r="A17" s="10">
        <v>1948</v>
      </c>
      <c r="B17" s="16">
        <v>0.05</v>
      </c>
    </row>
    <row r="18" spans="1:2" ht="15.6" x14ac:dyDescent="0.3">
      <c r="A18" s="10">
        <v>1948.5</v>
      </c>
      <c r="B18" s="16">
        <v>0.05</v>
      </c>
    </row>
    <row r="19" spans="1:2" ht="15.6" x14ac:dyDescent="0.3">
      <c r="A19" s="10">
        <v>1949</v>
      </c>
      <c r="B19" s="16">
        <v>0.05</v>
      </c>
    </row>
    <row r="20" spans="1:2" ht="15.6" x14ac:dyDescent="0.3">
      <c r="A20" s="10">
        <v>1949.5</v>
      </c>
      <c r="B20" s="16">
        <v>0.05</v>
      </c>
    </row>
    <row r="21" spans="1:2" ht="15.6" x14ac:dyDescent="0.3">
      <c r="A21" s="10">
        <v>1950</v>
      </c>
      <c r="B21" s="16">
        <v>0.05</v>
      </c>
    </row>
    <row r="22" spans="1:2" ht="15.6" x14ac:dyDescent="0.3">
      <c r="A22" s="10">
        <v>1950.5</v>
      </c>
      <c r="B22" s="16">
        <v>0.05</v>
      </c>
    </row>
    <row r="23" spans="1:2" ht="15.6" x14ac:dyDescent="0.3">
      <c r="A23" s="10">
        <v>1951</v>
      </c>
      <c r="B23" s="16">
        <v>0.05</v>
      </c>
    </row>
    <row r="24" spans="1:2" ht="15.6" x14ac:dyDescent="0.3">
      <c r="A24" s="10">
        <v>1951.5</v>
      </c>
      <c r="B24" s="16">
        <v>0.05</v>
      </c>
    </row>
    <row r="25" spans="1:2" ht="15.6" x14ac:dyDescent="0.3">
      <c r="A25" s="10">
        <v>1952</v>
      </c>
      <c r="B25" s="16">
        <v>0.05</v>
      </c>
    </row>
    <row r="26" spans="1:2" ht="15.6" x14ac:dyDescent="0.3">
      <c r="A26" s="10">
        <v>1952.5</v>
      </c>
      <c r="B26" s="16">
        <v>0.05</v>
      </c>
    </row>
    <row r="27" spans="1:2" ht="15.6" x14ac:dyDescent="0.3">
      <c r="A27" s="10">
        <v>1953</v>
      </c>
      <c r="B27" s="16">
        <v>0.05</v>
      </c>
    </row>
    <row r="28" spans="1:2" ht="15.6" x14ac:dyDescent="0.3">
      <c r="A28" s="10">
        <v>1953.5</v>
      </c>
      <c r="B28" s="16">
        <v>0.05</v>
      </c>
    </row>
    <row r="29" spans="1:2" ht="15.6" x14ac:dyDescent="0.3">
      <c r="A29" s="10">
        <v>1954</v>
      </c>
      <c r="B29" s="16">
        <v>0.06</v>
      </c>
    </row>
    <row r="30" spans="1:2" ht="15.6" x14ac:dyDescent="0.3">
      <c r="A30" s="10">
        <v>1954.5</v>
      </c>
      <c r="B30" s="16">
        <v>0.06</v>
      </c>
    </row>
    <row r="31" spans="1:2" ht="15.6" x14ac:dyDescent="0.3">
      <c r="A31" s="10">
        <v>1955</v>
      </c>
      <c r="B31" s="16">
        <v>0.06</v>
      </c>
    </row>
    <row r="32" spans="1:2" ht="15.6" x14ac:dyDescent="0.3">
      <c r="A32" s="10">
        <v>1955.5</v>
      </c>
      <c r="B32" s="16">
        <v>0.06</v>
      </c>
    </row>
    <row r="33" spans="1:2" ht="15.6" x14ac:dyDescent="0.3">
      <c r="A33" s="10">
        <v>1956</v>
      </c>
      <c r="B33" s="16">
        <v>0.06</v>
      </c>
    </row>
    <row r="34" spans="1:2" ht="15.6" x14ac:dyDescent="0.3">
      <c r="A34" s="10">
        <v>1956.5</v>
      </c>
      <c r="B34" s="16">
        <v>0.06</v>
      </c>
    </row>
    <row r="35" spans="1:2" ht="15.6" x14ac:dyDescent="0.3">
      <c r="A35" s="10">
        <v>1957</v>
      </c>
      <c r="B35" s="16">
        <v>0.06</v>
      </c>
    </row>
    <row r="36" spans="1:2" ht="15.6" x14ac:dyDescent="0.3">
      <c r="A36" s="10">
        <v>1957.5</v>
      </c>
      <c r="B36" s="16">
        <v>0.06</v>
      </c>
    </row>
    <row r="37" spans="1:2" ht="15.6" x14ac:dyDescent="0.3">
      <c r="A37" s="10">
        <v>1958</v>
      </c>
      <c r="B37" s="16">
        <v>0.06</v>
      </c>
    </row>
    <row r="38" spans="1:2" ht="15.6" x14ac:dyDescent="0.3">
      <c r="A38" s="10">
        <v>1958.5</v>
      </c>
      <c r="B38" s="16">
        <v>0.06</v>
      </c>
    </row>
    <row r="39" spans="1:2" ht="15.6" x14ac:dyDescent="0.3">
      <c r="A39" s="10">
        <v>1959</v>
      </c>
      <c r="B39" s="16">
        <v>0.06</v>
      </c>
    </row>
    <row r="40" spans="1:2" ht="15.6" x14ac:dyDescent="0.3">
      <c r="A40" s="10">
        <v>1959.5</v>
      </c>
      <c r="B40" s="16">
        <v>0.06</v>
      </c>
    </row>
    <row r="41" spans="1:2" ht="15.6" x14ac:dyDescent="0.3">
      <c r="A41" s="10">
        <v>1960</v>
      </c>
      <c r="B41" s="16">
        <v>7.0000000000000007E-2</v>
      </c>
    </row>
    <row r="42" spans="1:2" ht="15.6" x14ac:dyDescent="0.3">
      <c r="A42" s="10">
        <v>1960.5</v>
      </c>
      <c r="B42" s="16">
        <v>7.0000000000000007E-2</v>
      </c>
    </row>
    <row r="43" spans="1:2" ht="15.6" x14ac:dyDescent="0.3">
      <c r="A43" s="10">
        <v>1961</v>
      </c>
      <c r="B43" s="16">
        <v>7.0000000000000007E-2</v>
      </c>
    </row>
    <row r="44" spans="1:2" ht="15.6" x14ac:dyDescent="0.3">
      <c r="A44" s="10">
        <v>1961.5</v>
      </c>
      <c r="B44" s="16">
        <v>0.08</v>
      </c>
    </row>
    <row r="45" spans="1:2" ht="15.6" x14ac:dyDescent="0.3">
      <c r="A45" s="10">
        <v>1962</v>
      </c>
      <c r="B45" s="16">
        <v>0.08</v>
      </c>
    </row>
    <row r="46" spans="1:2" ht="15.6" x14ac:dyDescent="0.3">
      <c r="A46" s="10">
        <v>1962.5</v>
      </c>
      <c r="B46" s="16">
        <v>0.08</v>
      </c>
    </row>
    <row r="47" spans="1:2" ht="15.6" x14ac:dyDescent="0.3">
      <c r="A47" s="10">
        <v>1963</v>
      </c>
      <c r="B47" s="16">
        <v>0.09</v>
      </c>
    </row>
    <row r="48" spans="1:2" ht="15.6" x14ac:dyDescent="0.3">
      <c r="A48" s="10">
        <v>1963.5</v>
      </c>
      <c r="B48" s="16">
        <v>0.1</v>
      </c>
    </row>
    <row r="49" spans="1:2" ht="15.6" x14ac:dyDescent="0.3">
      <c r="A49" s="10">
        <v>1964</v>
      </c>
      <c r="B49" s="16">
        <v>0.1</v>
      </c>
    </row>
    <row r="50" spans="1:2" ht="15.6" x14ac:dyDescent="0.3">
      <c r="A50" s="10">
        <v>1964.5</v>
      </c>
      <c r="B50" s="16">
        <v>0.11</v>
      </c>
    </row>
    <row r="51" spans="1:2" ht="15.6" x14ac:dyDescent="0.3">
      <c r="A51" s="10">
        <v>1965</v>
      </c>
      <c r="B51" s="16">
        <v>0.12</v>
      </c>
    </row>
    <row r="52" spans="1:2" ht="15.6" x14ac:dyDescent="0.3">
      <c r="A52" s="10">
        <v>1965.5</v>
      </c>
      <c r="B52" s="16">
        <v>0.13</v>
      </c>
    </row>
    <row r="53" spans="1:2" ht="15.6" x14ac:dyDescent="0.3">
      <c r="A53" s="10">
        <v>1966</v>
      </c>
      <c r="B53" s="16">
        <v>0.14000000000000001</v>
      </c>
    </row>
    <row r="54" spans="1:2" ht="15.6" x14ac:dyDescent="0.3">
      <c r="A54" s="10">
        <v>1966.5</v>
      </c>
      <c r="B54" s="16">
        <v>0.15</v>
      </c>
    </row>
    <row r="55" spans="1:2" ht="15.6" x14ac:dyDescent="0.3">
      <c r="A55" s="10">
        <v>1967</v>
      </c>
      <c r="B55" s="16">
        <v>0.16</v>
      </c>
    </row>
    <row r="56" spans="1:2" ht="15.6" x14ac:dyDescent="0.3">
      <c r="A56" s="10">
        <v>1967.5</v>
      </c>
      <c r="B56" s="16">
        <v>0.18</v>
      </c>
    </row>
    <row r="57" spans="1:2" ht="15.6" x14ac:dyDescent="0.3">
      <c r="A57" s="10">
        <v>1968</v>
      </c>
      <c r="B57" s="16">
        <v>0.19</v>
      </c>
    </row>
    <row r="58" spans="1:2" ht="15.6" x14ac:dyDescent="0.3">
      <c r="A58" s="10">
        <v>1968.5</v>
      </c>
      <c r="B58" s="16">
        <v>0.2</v>
      </c>
    </row>
    <row r="59" spans="1:2" ht="15.6" x14ac:dyDescent="0.3">
      <c r="A59" s="10">
        <v>1969</v>
      </c>
      <c r="B59" s="16">
        <v>0.21</v>
      </c>
    </row>
    <row r="60" spans="1:2" ht="15.6" x14ac:dyDescent="0.3">
      <c r="A60" s="10">
        <v>1969.5</v>
      </c>
      <c r="B60" s="16">
        <v>0.22</v>
      </c>
    </row>
    <row r="61" spans="1:2" ht="15.6" x14ac:dyDescent="0.3">
      <c r="A61" s="10">
        <v>1970</v>
      </c>
      <c r="B61" s="16">
        <v>0.23</v>
      </c>
    </row>
    <row r="62" spans="1:2" ht="15.6" x14ac:dyDescent="0.3">
      <c r="A62" s="10">
        <v>1970.5</v>
      </c>
      <c r="B62" s="16">
        <v>0.25</v>
      </c>
    </row>
    <row r="63" spans="1:2" ht="15.6" x14ac:dyDescent="0.3">
      <c r="A63" s="10">
        <v>1971</v>
      </c>
      <c r="B63" s="16">
        <v>0.26</v>
      </c>
    </row>
    <row r="64" spans="1:2" ht="15.6" x14ac:dyDescent="0.3">
      <c r="A64" s="10">
        <v>1971.5</v>
      </c>
      <c r="B64" s="16">
        <v>0.27</v>
      </c>
    </row>
    <row r="65" spans="1:2" ht="15.6" x14ac:dyDescent="0.3">
      <c r="A65" s="10">
        <v>1972</v>
      </c>
      <c r="B65" s="16">
        <v>0.28000000000000003</v>
      </c>
    </row>
    <row r="66" spans="1:2" ht="15.6" x14ac:dyDescent="0.3">
      <c r="A66" s="10">
        <v>1972.5</v>
      </c>
      <c r="B66" s="16">
        <v>0.3</v>
      </c>
    </row>
    <row r="67" spans="1:2" ht="15.6" x14ac:dyDescent="0.3">
      <c r="A67" s="10">
        <v>1973</v>
      </c>
      <c r="B67" s="16">
        <v>0.32</v>
      </c>
    </row>
    <row r="68" spans="1:2" ht="15.6" x14ac:dyDescent="0.3">
      <c r="A68" s="10">
        <v>1973.5</v>
      </c>
      <c r="B68" s="16">
        <v>0.34</v>
      </c>
    </row>
    <row r="69" spans="1:2" ht="15.6" x14ac:dyDescent="0.3">
      <c r="A69" s="10">
        <v>1974</v>
      </c>
      <c r="B69" s="16">
        <v>0.36</v>
      </c>
    </row>
    <row r="70" spans="1:2" ht="15.6" x14ac:dyDescent="0.3">
      <c r="A70" s="10">
        <v>1974.5</v>
      </c>
      <c r="B70" s="16">
        <v>0.39</v>
      </c>
    </row>
    <row r="71" spans="1:2" ht="15.6" x14ac:dyDescent="0.3">
      <c r="A71" s="10">
        <v>1975</v>
      </c>
      <c r="B71" s="16">
        <v>0.42</v>
      </c>
    </row>
    <row r="72" spans="1:2" ht="15.6" x14ac:dyDescent="0.3">
      <c r="A72" s="10">
        <v>1975.5</v>
      </c>
      <c r="B72" s="16">
        <v>0.45</v>
      </c>
    </row>
    <row r="73" spans="1:2" ht="15.6" x14ac:dyDescent="0.3">
      <c r="A73" s="10">
        <v>1976</v>
      </c>
      <c r="B73" s="16">
        <v>0.48</v>
      </c>
    </row>
    <row r="74" spans="1:2" ht="15.6" x14ac:dyDescent="0.3">
      <c r="A74" s="10">
        <v>1976.5</v>
      </c>
      <c r="B74" s="16">
        <v>0.52</v>
      </c>
    </row>
    <row r="75" spans="1:2" ht="15.6" x14ac:dyDescent="0.3">
      <c r="A75" s="10">
        <v>1977</v>
      </c>
      <c r="B75" s="16">
        <v>0.55000000000000004</v>
      </c>
    </row>
    <row r="76" spans="1:2" ht="15.6" x14ac:dyDescent="0.3">
      <c r="A76" s="10">
        <v>1977.5</v>
      </c>
      <c r="B76" s="16">
        <v>0.59</v>
      </c>
    </row>
    <row r="77" spans="1:2" ht="15.6" x14ac:dyDescent="0.3">
      <c r="A77" s="10">
        <v>1978</v>
      </c>
      <c r="B77" s="16">
        <v>0.63</v>
      </c>
    </row>
    <row r="78" spans="1:2" ht="15.6" x14ac:dyDescent="0.3">
      <c r="A78" s="10">
        <v>1978.5</v>
      </c>
      <c r="B78" s="16">
        <v>0.68</v>
      </c>
    </row>
    <row r="79" spans="1:2" ht="15.6" x14ac:dyDescent="0.3">
      <c r="A79" s="10">
        <v>1979</v>
      </c>
      <c r="B79" s="16">
        <v>0.73</v>
      </c>
    </row>
    <row r="80" spans="1:2" ht="15.6" x14ac:dyDescent="0.3">
      <c r="A80" s="10">
        <v>1979.5</v>
      </c>
      <c r="B80" s="16">
        <v>0.77</v>
      </c>
    </row>
    <row r="81" spans="1:2" ht="15.6" x14ac:dyDescent="0.3">
      <c r="A81" s="10">
        <v>1980</v>
      </c>
      <c r="B81" s="16">
        <v>0.83</v>
      </c>
    </row>
    <row r="82" spans="1:2" ht="15.6" x14ac:dyDescent="0.3">
      <c r="A82" s="10">
        <v>1980.5</v>
      </c>
      <c r="B82" s="16">
        <v>0.88</v>
      </c>
    </row>
    <row r="83" spans="1:2" ht="15.6" x14ac:dyDescent="0.3">
      <c r="A83" s="10">
        <v>1981</v>
      </c>
      <c r="B83" s="16">
        <v>0.94</v>
      </c>
    </row>
    <row r="84" spans="1:2" ht="15.6" x14ac:dyDescent="0.3">
      <c r="A84" s="10">
        <v>1981.5</v>
      </c>
      <c r="B84" s="16">
        <v>0.99</v>
      </c>
    </row>
    <row r="85" spans="1:2" ht="15.6" x14ac:dyDescent="0.3">
      <c r="A85" s="10">
        <v>1982</v>
      </c>
      <c r="B85" s="16">
        <v>1.05</v>
      </c>
    </row>
    <row r="86" spans="1:2" ht="15.6" x14ac:dyDescent="0.3">
      <c r="A86" s="10">
        <v>1982.5</v>
      </c>
      <c r="B86" s="16">
        <v>1.1200000000000001</v>
      </c>
    </row>
    <row r="87" spans="1:2" ht="15.6" x14ac:dyDescent="0.3">
      <c r="A87" s="10">
        <v>1983</v>
      </c>
      <c r="B87" s="16">
        <v>1.18</v>
      </c>
    </row>
    <row r="88" spans="1:2" ht="15.6" x14ac:dyDescent="0.3">
      <c r="A88" s="10">
        <v>1983.5</v>
      </c>
      <c r="B88" s="16">
        <v>1.25</v>
      </c>
    </row>
    <row r="89" spans="1:2" ht="15.6" x14ac:dyDescent="0.3">
      <c r="A89" s="10">
        <v>1984</v>
      </c>
      <c r="B89" s="16">
        <v>1.32</v>
      </c>
    </row>
    <row r="90" spans="1:2" ht="15.6" x14ac:dyDescent="0.3">
      <c r="A90" s="10">
        <v>1984.5</v>
      </c>
      <c r="B90" s="16">
        <v>1.39</v>
      </c>
    </row>
    <row r="91" spans="1:2" ht="15.6" x14ac:dyDescent="0.3">
      <c r="A91" s="10">
        <v>1985</v>
      </c>
      <c r="B91" s="16">
        <v>1.47</v>
      </c>
    </row>
    <row r="92" spans="1:2" ht="15.6" x14ac:dyDescent="0.3">
      <c r="A92" s="10">
        <v>1985.5</v>
      </c>
      <c r="B92" s="16">
        <v>1.54</v>
      </c>
    </row>
    <row r="93" spans="1:2" ht="15.6" x14ac:dyDescent="0.3">
      <c r="A93" s="10">
        <v>1986</v>
      </c>
      <c r="B93" s="16">
        <v>1.62</v>
      </c>
    </row>
    <row r="94" spans="1:2" ht="15.6" x14ac:dyDescent="0.3">
      <c r="A94" s="10">
        <v>1986.5</v>
      </c>
      <c r="B94" s="16">
        <v>1.7</v>
      </c>
    </row>
    <row r="95" spans="1:2" ht="15.6" x14ac:dyDescent="0.3">
      <c r="A95" s="10">
        <v>1987</v>
      </c>
      <c r="B95" s="16">
        <v>1.79</v>
      </c>
    </row>
    <row r="96" spans="1:2" ht="15.6" x14ac:dyDescent="0.3">
      <c r="A96" s="10">
        <v>1987.5</v>
      </c>
      <c r="B96" s="16">
        <v>1.87</v>
      </c>
    </row>
    <row r="97" spans="1:2" ht="15.6" x14ac:dyDescent="0.3">
      <c r="A97" s="10">
        <v>1988</v>
      </c>
      <c r="B97" s="16">
        <v>1.96</v>
      </c>
    </row>
    <row r="98" spans="1:2" ht="15.6" x14ac:dyDescent="0.3">
      <c r="A98" s="10">
        <v>1988.5</v>
      </c>
      <c r="B98" s="16">
        <v>2.0499999999999998</v>
      </c>
    </row>
    <row r="99" spans="1:2" ht="15.6" x14ac:dyDescent="0.3">
      <c r="A99" s="10">
        <v>1989</v>
      </c>
      <c r="B99" s="16">
        <v>2.15</v>
      </c>
    </row>
    <row r="100" spans="1:2" ht="15.6" x14ac:dyDescent="0.3">
      <c r="A100" s="10">
        <v>1989.5</v>
      </c>
      <c r="B100" s="16">
        <v>2.2400000000000002</v>
      </c>
    </row>
    <row r="101" spans="1:2" ht="15.6" x14ac:dyDescent="0.3">
      <c r="A101" s="10">
        <v>1990</v>
      </c>
      <c r="B101" s="16">
        <v>2.34</v>
      </c>
    </row>
    <row r="102" spans="1:2" ht="15.6" x14ac:dyDescent="0.3">
      <c r="A102" s="10">
        <v>1990.5</v>
      </c>
      <c r="B102" s="17">
        <v>2.44</v>
      </c>
    </row>
    <row r="103" spans="1:2" ht="15.6" x14ac:dyDescent="0.3">
      <c r="A103" s="10">
        <v>1991</v>
      </c>
      <c r="B103" s="17">
        <v>2.54</v>
      </c>
    </row>
    <row r="104" spans="1:2" ht="15.6" x14ac:dyDescent="0.3">
      <c r="A104" s="10">
        <v>1991.5</v>
      </c>
      <c r="B104" s="17">
        <v>2.65</v>
      </c>
    </row>
    <row r="105" spans="1:2" ht="15.6" x14ac:dyDescent="0.3">
      <c r="A105" s="10">
        <v>1992</v>
      </c>
      <c r="B105" s="17">
        <v>2.77</v>
      </c>
    </row>
    <row r="106" spans="1:2" ht="15.6" x14ac:dyDescent="0.3">
      <c r="A106" s="10">
        <v>1992.5</v>
      </c>
      <c r="B106" s="17">
        <v>2.88</v>
      </c>
    </row>
    <row r="107" spans="1:2" ht="15.6" x14ac:dyDescent="0.3">
      <c r="A107" s="10">
        <v>1993</v>
      </c>
      <c r="B107" s="17">
        <v>2.99</v>
      </c>
    </row>
    <row r="108" spans="1:2" ht="15.6" x14ac:dyDescent="0.3">
      <c r="A108" s="10">
        <v>1993.5</v>
      </c>
      <c r="B108" s="17">
        <v>3.1</v>
      </c>
    </row>
    <row r="109" spans="1:2" ht="15.6" x14ac:dyDescent="0.3">
      <c r="A109" s="10">
        <v>1994</v>
      </c>
      <c r="B109" s="17">
        <v>3.22</v>
      </c>
    </row>
    <row r="110" spans="1:2" ht="15.6" x14ac:dyDescent="0.3">
      <c r="A110" s="10">
        <v>1994.5</v>
      </c>
      <c r="B110" s="17">
        <v>3.33</v>
      </c>
    </row>
    <row r="111" spans="1:2" ht="15.6" x14ac:dyDescent="0.3">
      <c r="A111" s="10">
        <v>1995</v>
      </c>
      <c r="B111" s="17">
        <v>3.411</v>
      </c>
    </row>
    <row r="112" spans="1:2" ht="15.6" x14ac:dyDescent="0.3">
      <c r="A112" s="10">
        <v>1995.5</v>
      </c>
      <c r="B112" s="17">
        <v>3.552</v>
      </c>
    </row>
    <row r="113" spans="1:2" ht="15.6" x14ac:dyDescent="0.3">
      <c r="A113" s="10">
        <v>1996</v>
      </c>
      <c r="B113" s="17">
        <v>3.73</v>
      </c>
    </row>
    <row r="114" spans="1:2" ht="15.6" x14ac:dyDescent="0.3">
      <c r="A114" s="10">
        <v>1996.5</v>
      </c>
      <c r="B114" s="17">
        <v>3.8479999999999999</v>
      </c>
    </row>
    <row r="115" spans="1:2" ht="15.6" x14ac:dyDescent="0.3">
      <c r="A115" s="10">
        <v>1997</v>
      </c>
      <c r="B115" s="17">
        <v>3.9670000000000001</v>
      </c>
    </row>
    <row r="116" spans="1:2" ht="15.6" x14ac:dyDescent="0.3">
      <c r="A116" s="10">
        <v>1997.5</v>
      </c>
      <c r="B116" s="17">
        <v>4.0519999999999996</v>
      </c>
    </row>
    <row r="117" spans="1:2" ht="15.6" x14ac:dyDescent="0.3">
      <c r="A117" s="10">
        <v>1998</v>
      </c>
      <c r="B117" s="17">
        <v>4.1859999999999999</v>
      </c>
    </row>
    <row r="118" spans="1:2" ht="15.6" x14ac:dyDescent="0.3">
      <c r="A118" s="10">
        <v>1998.5</v>
      </c>
      <c r="B118" s="17">
        <v>4.29</v>
      </c>
    </row>
    <row r="119" spans="1:2" ht="15.6" x14ac:dyDescent="0.3">
      <c r="A119" s="10">
        <v>1999</v>
      </c>
      <c r="B119" s="17">
        <v>4.4480000000000004</v>
      </c>
    </row>
    <row r="120" spans="1:2" ht="15.6" x14ac:dyDescent="0.3">
      <c r="A120" s="10">
        <v>1999.5</v>
      </c>
      <c r="B120" s="17">
        <v>4.5030000000000001</v>
      </c>
    </row>
    <row r="121" spans="1:2" ht="15.6" x14ac:dyDescent="0.3">
      <c r="A121" s="10">
        <v>2000</v>
      </c>
      <c r="B121" s="17">
        <v>4.6289999999999996</v>
      </c>
    </row>
    <row r="122" spans="1:2" ht="15.6" x14ac:dyDescent="0.3">
      <c r="A122" s="10">
        <v>2000.5</v>
      </c>
      <c r="B122" s="17">
        <v>4.702</v>
      </c>
    </row>
    <row r="123" spans="1:2" ht="15.6" x14ac:dyDescent="0.3">
      <c r="A123" s="10">
        <v>2001</v>
      </c>
      <c r="B123" s="17">
        <v>4.819</v>
      </c>
    </row>
    <row r="124" spans="1:2" ht="15.6" x14ac:dyDescent="0.3">
      <c r="A124" s="10">
        <v>2001.5</v>
      </c>
      <c r="B124" s="17">
        <v>4.9119999999999999</v>
      </c>
    </row>
    <row r="125" spans="1:2" ht="15.6" x14ac:dyDescent="0.3">
      <c r="A125" s="10">
        <v>2002</v>
      </c>
      <c r="B125" s="17">
        <v>5.0430000000000001</v>
      </c>
    </row>
    <row r="126" spans="1:2" ht="15.6" x14ac:dyDescent="0.3">
      <c r="A126" s="10">
        <v>2002.5</v>
      </c>
      <c r="B126" s="17">
        <v>5.1289999999999996</v>
      </c>
    </row>
    <row r="127" spans="1:2" ht="15.6" x14ac:dyDescent="0.3">
      <c r="A127" s="10">
        <v>2003</v>
      </c>
      <c r="B127" s="17">
        <v>5.2619999999999996</v>
      </c>
    </row>
    <row r="128" spans="1:2" ht="15.6" x14ac:dyDescent="0.3">
      <c r="A128" s="10">
        <v>2003.5</v>
      </c>
      <c r="B128" s="17">
        <v>5.3630000000000004</v>
      </c>
    </row>
    <row r="129" spans="1:2" ht="15.6" x14ac:dyDescent="0.3">
      <c r="A129" s="10">
        <v>2004</v>
      </c>
      <c r="B129" s="17">
        <v>5.5060000000000002</v>
      </c>
    </row>
    <row r="130" spans="1:2" ht="15.6" x14ac:dyDescent="0.3">
      <c r="A130" s="10">
        <v>2004.5</v>
      </c>
      <c r="B130" s="17">
        <v>5.59</v>
      </c>
    </row>
    <row r="131" spans="1:2" ht="15.6" x14ac:dyDescent="0.3">
      <c r="A131" s="10">
        <v>2005</v>
      </c>
      <c r="B131" s="17">
        <v>5.6890000000000001</v>
      </c>
    </row>
    <row r="132" spans="1:2" ht="15.6" x14ac:dyDescent="0.3">
      <c r="A132" s="10">
        <v>2005.5</v>
      </c>
      <c r="B132" s="17">
        <v>5.806</v>
      </c>
    </row>
    <row r="133" spans="1:2" ht="15.6" x14ac:dyDescent="0.3">
      <c r="A133" s="10">
        <v>2006</v>
      </c>
      <c r="B133" s="17">
        <v>5.9539999999999997</v>
      </c>
    </row>
    <row r="134" spans="1:2" ht="15.6" x14ac:dyDescent="0.3">
      <c r="A134" s="10">
        <v>2006.5</v>
      </c>
      <c r="B134" s="17">
        <v>6.0490000000000004</v>
      </c>
    </row>
    <row r="135" spans="1:2" ht="15.6" x14ac:dyDescent="0.3">
      <c r="A135" s="10">
        <v>2007</v>
      </c>
      <c r="B135" s="17">
        <v>6.1970000000000001</v>
      </c>
    </row>
    <row r="136" spans="1:2" ht="15.6" x14ac:dyDescent="0.3">
      <c r="A136" s="10">
        <v>2007.5</v>
      </c>
      <c r="B136" s="17">
        <v>6.3230000000000004</v>
      </c>
    </row>
    <row r="137" spans="1:2" ht="15.6" x14ac:dyDescent="0.3">
      <c r="A137" s="10">
        <v>2008</v>
      </c>
      <c r="B137" s="17">
        <v>6.4749999999999996</v>
      </c>
    </row>
    <row r="138" spans="1:2" ht="15.6" x14ac:dyDescent="0.3">
      <c r="A138" s="10">
        <v>2008.5</v>
      </c>
      <c r="B138" s="17">
        <v>6.6020000000000003</v>
      </c>
    </row>
    <row r="139" spans="1:2" ht="15.6" x14ac:dyDescent="0.3">
      <c r="A139" s="10">
        <v>2009</v>
      </c>
      <c r="B139" s="17">
        <v>6.77</v>
      </c>
    </row>
    <row r="140" spans="1:2" ht="15.6" x14ac:dyDescent="0.3">
      <c r="A140" s="10">
        <v>2009.5</v>
      </c>
      <c r="B140" s="17">
        <v>6.8650000000000002</v>
      </c>
    </row>
    <row r="141" spans="1:2" ht="15.6" x14ac:dyDescent="0.3">
      <c r="A141" s="10">
        <v>2010</v>
      </c>
      <c r="B141" s="17">
        <v>7.04</v>
      </c>
    </row>
    <row r="142" spans="1:2" ht="15.6" x14ac:dyDescent="0.3">
      <c r="A142" s="10">
        <v>2010.5</v>
      </c>
      <c r="B142" s="13">
        <v>7.181</v>
      </c>
    </row>
    <row r="143" spans="1:2" ht="15.6" x14ac:dyDescent="0.3">
      <c r="A143" s="10">
        <v>2011</v>
      </c>
      <c r="B143" s="13">
        <v>7.32</v>
      </c>
    </row>
    <row r="144" spans="1:2" ht="15.6" x14ac:dyDescent="0.3">
      <c r="A144" s="10">
        <v>2011.5</v>
      </c>
      <c r="B144" s="13">
        <v>7.45</v>
      </c>
    </row>
    <row r="145" spans="1:2" ht="15.6" x14ac:dyDescent="0.3">
      <c r="A145" s="10">
        <v>2012</v>
      </c>
      <c r="B145" s="13">
        <v>7.6269999999999998</v>
      </c>
    </row>
    <row r="146" spans="1:2" ht="15.6" x14ac:dyDescent="0.3">
      <c r="A146" s="10">
        <v>2012.5</v>
      </c>
      <c r="B146" s="13">
        <v>7.7389999999999999</v>
      </c>
    </row>
    <row r="147" spans="1:2" ht="15.6" x14ac:dyDescent="0.3">
      <c r="A147" s="10">
        <v>2013</v>
      </c>
      <c r="B147" s="13">
        <v>7.9349999999999996</v>
      </c>
    </row>
    <row r="148" spans="1:2" ht="15.6" x14ac:dyDescent="0.3">
      <c r="A148" s="10">
        <v>2013.5</v>
      </c>
      <c r="B148" s="13">
        <v>8.07</v>
      </c>
    </row>
    <row r="149" spans="1:2" ht="15.6" x14ac:dyDescent="0.3">
      <c r="A149" s="10">
        <v>2014</v>
      </c>
      <c r="B149" s="13">
        <v>8.25</v>
      </c>
    </row>
    <row r="150" spans="1:2" ht="15.6" x14ac:dyDescent="0.3">
      <c r="A150" s="10">
        <v>2014.5</v>
      </c>
      <c r="B150" s="13">
        <v>8.4</v>
      </c>
    </row>
    <row r="151" spans="1:2" ht="15.6" x14ac:dyDescent="0.3">
      <c r="A151" s="10">
        <v>2015</v>
      </c>
      <c r="B151" s="13">
        <v>8.56</v>
      </c>
    </row>
    <row r="152" spans="1:2" ht="15.6" x14ac:dyDescent="0.3">
      <c r="A152" s="10">
        <v>2015.5</v>
      </c>
      <c r="B152" s="13">
        <v>8.9</v>
      </c>
    </row>
    <row r="153" spans="1:2" ht="15.6" x14ac:dyDescent="0.3">
      <c r="A153" s="10">
        <v>2016</v>
      </c>
      <c r="B153" s="13">
        <v>9.0299999999999994</v>
      </c>
    </row>
    <row r="154" spans="1:2" ht="15.6" x14ac:dyDescent="0.3">
      <c r="A154" s="10">
        <v>2016.5</v>
      </c>
      <c r="B154" s="13">
        <v>9.1999999999999993</v>
      </c>
    </row>
    <row r="155" spans="1:2" ht="16.2" thickBot="1" x14ac:dyDescent="0.35">
      <c r="A155" s="11">
        <v>2017</v>
      </c>
      <c r="B155" s="13">
        <v>9.3699999999999992</v>
      </c>
    </row>
    <row r="156" spans="1:2" ht="15.6" x14ac:dyDescent="0.3">
      <c r="A156" s="10">
        <v>2017.5</v>
      </c>
      <c r="B156" s="13">
        <v>9.5299999999999994</v>
      </c>
    </row>
    <row r="157" spans="1:2" ht="16.2" thickBot="1" x14ac:dyDescent="0.35">
      <c r="A157" s="11">
        <v>2018</v>
      </c>
      <c r="B157" s="15">
        <v>9.69</v>
      </c>
    </row>
    <row r="158" spans="1:2" ht="15.6" x14ac:dyDescent="0.3">
      <c r="A158" s="10">
        <v>2018.5</v>
      </c>
      <c r="B158" s="13">
        <v>9.85</v>
      </c>
    </row>
    <row r="159" spans="1:2" ht="16.2" thickBot="1" x14ac:dyDescent="0.35">
      <c r="A159" s="11">
        <v>2019</v>
      </c>
      <c r="B159" s="15">
        <v>10.050000000000001</v>
      </c>
    </row>
    <row r="160" spans="1:2" ht="15.6" x14ac:dyDescent="0.3">
      <c r="A160" s="10">
        <v>2019.5</v>
      </c>
      <c r="B160" s="15">
        <v>10.220000000000001</v>
      </c>
    </row>
    <row r="161" spans="1:2" ht="15.6" x14ac:dyDescent="0.3">
      <c r="A161" s="10">
        <v>2020</v>
      </c>
      <c r="B161" s="15">
        <v>10.36</v>
      </c>
    </row>
    <row r="162" spans="1:2" ht="16.2" thickBot="1" x14ac:dyDescent="0.35">
      <c r="A162" s="11">
        <v>2020.5</v>
      </c>
      <c r="B162" s="13">
        <v>10.52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C21A3AFC6F54C9B75756AF591E856" ma:contentTypeVersion="8" ma:contentTypeDescription="Crée un document." ma:contentTypeScope="" ma:versionID="95dcde19d94f99bc1f0be15b8bc9faf8">
  <xsd:schema xmlns:xsd="http://www.w3.org/2001/XMLSchema" xmlns:xs="http://www.w3.org/2001/XMLSchema" xmlns:p="http://schemas.microsoft.com/office/2006/metadata/properties" xmlns:ns3="d9aa405d-839e-40ae-a437-870f77bdd4d8" targetNamespace="http://schemas.microsoft.com/office/2006/metadata/properties" ma:root="true" ma:fieldsID="b1fc964cfa4beba7bb9c7c34b60a315c" ns3:_="">
    <xsd:import namespace="d9aa405d-839e-40ae-a437-870f77bdd4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a405d-839e-40ae-a437-870f77bdd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5D766-9981-46A6-A1D5-5F04186914CB}">
  <ds:schemaRefs>
    <ds:schemaRef ds:uri="http://schemas.microsoft.com/office/2006/documentManagement/types"/>
    <ds:schemaRef ds:uri="http://purl.org/dc/dcmitype/"/>
    <ds:schemaRef ds:uri="d9aa405d-839e-40ae-a437-870f77bdd4d8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587D60-2BC4-438C-9F48-EE9F1478AA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D8ED6-2977-4A89-950D-B08555D75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aa405d-839e-40ae-a437-870f77bdd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CFC11</vt:lpstr>
      <vt:lpstr>CFC12</vt:lpstr>
      <vt:lpstr>CFC113</vt:lpstr>
      <vt:lpstr>SF6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Jean-Raynald de Dreuzy</cp:lastModifiedBy>
  <dcterms:created xsi:type="dcterms:W3CDTF">2021-05-31T07:15:17Z</dcterms:created>
  <dcterms:modified xsi:type="dcterms:W3CDTF">2021-05-31T14:05:36Z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0x010100CECC21A3AFC6F54C9B75756AF591E856</vt:lpwstr>
  </property>
</Properties>
</file>